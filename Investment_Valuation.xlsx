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Абылай\Downloads\"/>
    </mc:Choice>
  </mc:AlternateContent>
  <xr:revisionPtr revIDLastSave="0" documentId="13_ncr:1_{E7AFE624-61D0-474E-9D6C-7A0D1C706EFD}" xr6:coauthVersionLast="47" xr6:coauthVersionMax="47" xr10:uidLastSave="{00000000-0000-0000-0000-000000000000}"/>
  <bookViews>
    <workbookView xWindow="-108" yWindow="-108" windowWidth="23256" windowHeight="12456" firstSheet="1" activeTab="8" xr2:uid="{F4658223-0EF1-4345-BB0A-F13FF78A7639}"/>
  </bookViews>
  <sheets>
    <sheet name="BL" sheetId="1" r:id="rId1"/>
    <sheet name="Ratio Analysis" sheetId="4" r:id="rId2"/>
    <sheet name="DuPont" sheetId="5" r:id="rId3"/>
    <sheet name="Comps Data" sheetId="8" r:id="rId4"/>
    <sheet name="Beta" sheetId="9" r:id="rId5"/>
    <sheet name="Projection" sheetId="6" r:id="rId6"/>
    <sheet name="WACC" sheetId="7" r:id="rId7"/>
    <sheet name="DCF" sheetId="10" r:id="rId8"/>
    <sheet name="LBO" sheetId="11" r:id="rId9"/>
  </sheet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3" i="5" l="1"/>
  <c r="AF5" i="8"/>
  <c r="AD3" i="8" a="1"/>
  <c r="AD3" i="8" s="1"/>
  <c r="C7" i="9"/>
  <c r="C308" i="11"/>
  <c r="F307" i="11"/>
  <c r="C321" i="11"/>
  <c r="B323" i="11"/>
  <c r="C322" i="11"/>
  <c r="C323" i="11" s="1"/>
  <c r="C324" i="11" s="1"/>
  <c r="C325" i="11" s="1"/>
  <c r="C326" i="11" s="1"/>
  <c r="H319" i="11"/>
  <c r="I319" i="11" s="1"/>
  <c r="J319" i="11" s="1"/>
  <c r="F319" i="11"/>
  <c r="E319" i="11"/>
  <c r="D319" i="11" s="1"/>
  <c r="H307" i="11"/>
  <c r="I307" i="11" s="1"/>
  <c r="J307" i="11" s="1"/>
  <c r="E307" i="11"/>
  <c r="C309" i="11" s="1"/>
  <c r="C310" i="11" s="1"/>
  <c r="C311" i="11" s="1"/>
  <c r="C312" i="11" s="1"/>
  <c r="C313" i="11" s="1"/>
  <c r="E292" i="11"/>
  <c r="F292" i="11" s="1"/>
  <c r="G292" i="11" s="1"/>
  <c r="H292" i="11" s="1"/>
  <c r="I292" i="11" s="1"/>
  <c r="F288" i="11"/>
  <c r="G288" i="11"/>
  <c r="H288" i="11"/>
  <c r="H297" i="11" s="1"/>
  <c r="I288" i="11"/>
  <c r="E288" i="11"/>
  <c r="D279" i="11"/>
  <c r="E241" i="11"/>
  <c r="F241" i="11"/>
  <c r="G241" i="11"/>
  <c r="H241" i="11"/>
  <c r="I241" i="11"/>
  <c r="E152" i="11"/>
  <c r="F262" i="11"/>
  <c r="D263" i="11"/>
  <c r="E263" i="11" s="1"/>
  <c r="E262" i="11"/>
  <c r="G262" i="11"/>
  <c r="H262" i="11"/>
  <c r="I262" i="11"/>
  <c r="E261" i="11"/>
  <c r="F261" i="11"/>
  <c r="G261" i="11"/>
  <c r="H261" i="11"/>
  <c r="I261" i="11"/>
  <c r="D262" i="11"/>
  <c r="D261" i="11"/>
  <c r="E75" i="11"/>
  <c r="G75" i="11" s="1"/>
  <c r="E71" i="11"/>
  <c r="F195" i="11"/>
  <c r="G195" i="11"/>
  <c r="H195" i="11"/>
  <c r="I195" i="11"/>
  <c r="E195" i="11"/>
  <c r="E24" i="11"/>
  <c r="E187" i="11" s="1"/>
  <c r="E23" i="11"/>
  <c r="E175" i="11" s="1"/>
  <c r="E176" i="11" s="1"/>
  <c r="F161" i="11"/>
  <c r="F220" i="11" s="1"/>
  <c r="F279" i="11" s="1"/>
  <c r="G161" i="11"/>
  <c r="G220" i="11" s="1"/>
  <c r="G279" i="11" s="1"/>
  <c r="H161" i="11"/>
  <c r="H220" i="11" s="1"/>
  <c r="H279" i="11" s="1"/>
  <c r="I161" i="11"/>
  <c r="I220" i="11" s="1"/>
  <c r="I279" i="11" s="1"/>
  <c r="E161" i="11"/>
  <c r="E220" i="11" s="1"/>
  <c r="E279" i="11" s="1"/>
  <c r="H10" i="6"/>
  <c r="F296" i="11" l="1"/>
  <c r="F297" i="11"/>
  <c r="F295" i="11"/>
  <c r="G297" i="11"/>
  <c r="G296" i="11"/>
  <c r="E295" i="11"/>
  <c r="E296" i="11"/>
  <c r="E297" i="11"/>
  <c r="E294" i="11"/>
  <c r="F263" i="11"/>
  <c r="H175" i="11"/>
  <c r="H176" i="11" s="1"/>
  <c r="H187" i="11"/>
  <c r="F175" i="11"/>
  <c r="F176" i="11" s="1"/>
  <c r="G187" i="11"/>
  <c r="F187" i="11"/>
  <c r="I175" i="11"/>
  <c r="I176" i="11" s="1"/>
  <c r="I187" i="11"/>
  <c r="G175" i="11"/>
  <c r="G176" i="11" s="1"/>
  <c r="G263" i="11" l="1"/>
  <c r="F130" i="11"/>
  <c r="G130" i="11"/>
  <c r="H130" i="11"/>
  <c r="I130" i="11"/>
  <c r="E130" i="11"/>
  <c r="E121" i="11" a="1"/>
  <c r="E121" i="11" s="1"/>
  <c r="D114" i="11"/>
  <c r="D109" i="11"/>
  <c r="D107" i="11"/>
  <c r="D105" i="11"/>
  <c r="D104" i="11"/>
  <c r="E74" i="11"/>
  <c r="E77" i="11"/>
  <c r="E81" i="11"/>
  <c r="H81" i="11" s="1"/>
  <c r="D236" i="11" s="1"/>
  <c r="E82" i="11"/>
  <c r="H82" i="11" s="1"/>
  <c r="D237" i="11" s="1"/>
  <c r="D264" i="11" s="1"/>
  <c r="E264" i="11" s="1"/>
  <c r="E83" i="11"/>
  <c r="E94" i="11"/>
  <c r="H71" i="11"/>
  <c r="D227" i="11" s="1"/>
  <c r="E68" i="11"/>
  <c r="H68" i="11" s="1"/>
  <c r="D224" i="11" s="1"/>
  <c r="E224" i="11" s="1"/>
  <c r="F224" i="11" s="1"/>
  <c r="G224" i="11" s="1"/>
  <c r="H224" i="11" s="1"/>
  <c r="I224" i="11" s="1"/>
  <c r="E69" i="11"/>
  <c r="H69" i="11" s="1"/>
  <c r="D225" i="11" s="1"/>
  <c r="E70" i="11"/>
  <c r="H70" i="11" s="1"/>
  <c r="D226" i="11" s="1"/>
  <c r="E226" i="11" s="1"/>
  <c r="F226" i="11" s="1"/>
  <c r="G226" i="11" s="1"/>
  <c r="H226" i="11" s="1"/>
  <c r="I226" i="11" s="1"/>
  <c r="E67" i="11"/>
  <c r="H67" i="11" s="1"/>
  <c r="D223" i="11" s="1"/>
  <c r="E66" i="11"/>
  <c r="C54" i="11"/>
  <c r="C53" i="11"/>
  <c r="C50" i="11"/>
  <c r="C51" i="11"/>
  <c r="E86" i="11" s="1"/>
  <c r="I37" i="11"/>
  <c r="I36" i="11"/>
  <c r="F66" i="11" s="1"/>
  <c r="D10" i="7"/>
  <c r="C31" i="7" s="1"/>
  <c r="C27" i="11"/>
  <c r="C13" i="11"/>
  <c r="J10" i="6"/>
  <c r="K10" i="6" s="1"/>
  <c r="J11" i="6"/>
  <c r="J12" i="6"/>
  <c r="J13" i="6"/>
  <c r="J14" i="6"/>
  <c r="L10" i="6"/>
  <c r="H11" i="6"/>
  <c r="H12" i="6"/>
  <c r="H13" i="6"/>
  <c r="H14" i="6"/>
  <c r="L11" i="6"/>
  <c r="L12" i="6"/>
  <c r="L13" i="6"/>
  <c r="L14" i="6"/>
  <c r="M13" i="6"/>
  <c r="M14" i="6"/>
  <c r="F11" i="6"/>
  <c r="F12" i="6"/>
  <c r="F13" i="6"/>
  <c r="F14" i="6"/>
  <c r="F10" i="6"/>
  <c r="D10" i="6"/>
  <c r="D11" i="6"/>
  <c r="J21" i="10"/>
  <c r="G15" i="10"/>
  <c r="G14" i="10"/>
  <c r="G13" i="10"/>
  <c r="G11" i="10"/>
  <c r="C9" i="10"/>
  <c r="C15" i="10"/>
  <c r="C14" i="10"/>
  <c r="J22" i="10" s="1"/>
  <c r="M7" i="6"/>
  <c r="M8" i="6"/>
  <c r="M9" i="6"/>
  <c r="M6" i="6"/>
  <c r="L6" i="6"/>
  <c r="L7" i="6"/>
  <c r="L8" i="6"/>
  <c r="L9" i="6"/>
  <c r="L5" i="6"/>
  <c r="K7" i="6"/>
  <c r="K8" i="6"/>
  <c r="K9" i="6"/>
  <c r="K6" i="6"/>
  <c r="J5" i="6" a="1"/>
  <c r="J5" i="6" s="1"/>
  <c r="I7" i="6"/>
  <c r="I8" i="6"/>
  <c r="I9" i="6"/>
  <c r="I6" i="6"/>
  <c r="H5" i="6" a="1"/>
  <c r="H5" i="6" s="1"/>
  <c r="E25" i="6"/>
  <c r="D25" i="6"/>
  <c r="F25" i="6"/>
  <c r="C25" i="6"/>
  <c r="D24" i="6"/>
  <c r="E24" i="6"/>
  <c r="F24" i="6"/>
  <c r="C24" i="6"/>
  <c r="D22" i="6"/>
  <c r="D21" i="6"/>
  <c r="E21" i="6"/>
  <c r="E22" i="6"/>
  <c r="E20" i="6"/>
  <c r="E19" i="6"/>
  <c r="E18" i="6"/>
  <c r="D20" i="6"/>
  <c r="D19" i="6"/>
  <c r="D18" i="6"/>
  <c r="F22" i="6"/>
  <c r="F21" i="6"/>
  <c r="F20" i="6"/>
  <c r="F19" i="6"/>
  <c r="F18" i="6"/>
  <c r="C22" i="6"/>
  <c r="C21" i="6"/>
  <c r="C20" i="6"/>
  <c r="C19" i="6"/>
  <c r="C18" i="6"/>
  <c r="B19" i="6"/>
  <c r="B20" i="6"/>
  <c r="B21" i="6"/>
  <c r="B22" i="6"/>
  <c r="B18" i="6"/>
  <c r="C21" i="4"/>
  <c r="D21" i="4"/>
  <c r="E21" i="4"/>
  <c r="F21" i="4"/>
  <c r="G21" i="4"/>
  <c r="I21" i="4"/>
  <c r="C22" i="4"/>
  <c r="D22" i="4"/>
  <c r="E22" i="4"/>
  <c r="F22" i="4"/>
  <c r="G22" i="4"/>
  <c r="I22" i="4"/>
  <c r="C25" i="4"/>
  <c r="D25" i="4"/>
  <c r="E25" i="4"/>
  <c r="F25" i="4"/>
  <c r="G25" i="4"/>
  <c r="I25" i="4"/>
  <c r="C27" i="4"/>
  <c r="C33" i="4" s="1"/>
  <c r="D27" i="4"/>
  <c r="D33" i="4" s="1"/>
  <c r="E27" i="4"/>
  <c r="E33" i="4" s="1"/>
  <c r="F27" i="4"/>
  <c r="F33" i="4" s="1"/>
  <c r="G27" i="4"/>
  <c r="G33" i="4" s="1"/>
  <c r="I27" i="4"/>
  <c r="C28" i="4"/>
  <c r="C34" i="4" s="1"/>
  <c r="D28" i="4"/>
  <c r="D34" i="4" s="1"/>
  <c r="E28" i="4"/>
  <c r="E34" i="4" s="1"/>
  <c r="F28" i="4"/>
  <c r="F34" i="4" s="1"/>
  <c r="G28" i="4"/>
  <c r="G34" i="4" s="1"/>
  <c r="C29" i="4"/>
  <c r="C35" i="4" s="1"/>
  <c r="D29" i="4"/>
  <c r="D35" i="4" s="1"/>
  <c r="E29" i="4"/>
  <c r="E35" i="4" s="1"/>
  <c r="F29" i="4"/>
  <c r="F35" i="4" s="1"/>
  <c r="G29" i="4"/>
  <c r="G35" i="4" s="1"/>
  <c r="I29" i="4"/>
  <c r="C30" i="4"/>
  <c r="D30" i="4"/>
  <c r="E30" i="4"/>
  <c r="F30" i="4"/>
  <c r="G30" i="4"/>
  <c r="G7" i="6"/>
  <c r="G8" i="6"/>
  <c r="G9" i="6"/>
  <c r="G6" i="6"/>
  <c r="F5" i="6" a="1"/>
  <c r="F5" i="6" s="1"/>
  <c r="C5" i="6"/>
  <c r="C6" i="6" s="1"/>
  <c r="C7" i="6" s="1"/>
  <c r="C8" i="6" s="1"/>
  <c r="C9" i="6" s="1"/>
  <c r="C10" i="6" s="1"/>
  <c r="C11" i="6" s="1"/>
  <c r="C12" i="6" s="1"/>
  <c r="C13" i="6" s="1"/>
  <c r="C14" i="6" s="1"/>
  <c r="J23" i="7"/>
  <c r="F33" i="7"/>
  <c r="C32" i="7"/>
  <c r="F24" i="7"/>
  <c r="F22" i="7"/>
  <c r="C26" i="7"/>
  <c r="C25" i="7"/>
  <c r="C27" i="7" s="1"/>
  <c r="C23" i="7"/>
  <c r="F17" i="7"/>
  <c r="F16" i="7"/>
  <c r="H10" i="7"/>
  <c r="G11" i="7"/>
  <c r="G10" i="7"/>
  <c r="E10" i="7"/>
  <c r="H12" i="7"/>
  <c r="H13" i="7"/>
  <c r="H14" i="7"/>
  <c r="H11" i="7"/>
  <c r="G13" i="7"/>
  <c r="G12" i="7"/>
  <c r="G14" i="7"/>
  <c r="E14" i="7"/>
  <c r="E12" i="7"/>
  <c r="E11" i="7"/>
  <c r="E13" i="6"/>
  <c r="E14" i="6"/>
  <c r="D12" i="6"/>
  <c r="D13" i="6"/>
  <c r="D14" i="6"/>
  <c r="E9" i="6"/>
  <c r="E8" i="6"/>
  <c r="E7" i="6"/>
  <c r="E6" i="6"/>
  <c r="D5" i="6" a="1"/>
  <c r="D5" i="6" s="1"/>
  <c r="D28" i="5"/>
  <c r="D40" i="5"/>
  <c r="D50" i="5" s="1"/>
  <c r="F28" i="5"/>
  <c r="F40" i="5" s="1"/>
  <c r="F50" i="5" s="1"/>
  <c r="E28" i="5"/>
  <c r="E40" i="5" s="1"/>
  <c r="E50" i="5" s="1"/>
  <c r="F18" i="5"/>
  <c r="E18" i="5"/>
  <c r="D18" i="5"/>
  <c r="C40" i="5"/>
  <c r="C39" i="5"/>
  <c r="E32" i="5"/>
  <c r="F32" i="5"/>
  <c r="D32" i="5"/>
  <c r="D31" i="5"/>
  <c r="E31" i="5"/>
  <c r="E33" i="5" s="1"/>
  <c r="F31" i="5"/>
  <c r="G28" i="5"/>
  <c r="H28" i="5"/>
  <c r="E24" i="5"/>
  <c r="F24" i="5"/>
  <c r="G24" i="5"/>
  <c r="H24" i="5"/>
  <c r="D24" i="5"/>
  <c r="C23" i="5"/>
  <c r="G18" i="5"/>
  <c r="G32" i="5" s="1"/>
  <c r="H18" i="5"/>
  <c r="H32" i="5" s="1"/>
  <c r="E17" i="5"/>
  <c r="F17" i="5"/>
  <c r="G17" i="5"/>
  <c r="H17" i="5"/>
  <c r="D17" i="5"/>
  <c r="D40" i="4"/>
  <c r="E40" i="4"/>
  <c r="F40" i="4"/>
  <c r="G40" i="4"/>
  <c r="C40" i="4"/>
  <c r="E39" i="4"/>
  <c r="F39" i="4"/>
  <c r="G39" i="4"/>
  <c r="D39" i="4"/>
  <c r="C39" i="4"/>
  <c r="D38" i="4"/>
  <c r="E38" i="4"/>
  <c r="F38" i="4"/>
  <c r="G38" i="4"/>
  <c r="C38" i="4"/>
  <c r="D31" i="4"/>
  <c r="E31" i="4"/>
  <c r="F31" i="4"/>
  <c r="G31" i="4"/>
  <c r="C31" i="4"/>
  <c r="D18" i="4"/>
  <c r="E18" i="4"/>
  <c r="F18" i="4"/>
  <c r="G18" i="4"/>
  <c r="C18" i="4"/>
  <c r="D17" i="4"/>
  <c r="E17" i="4"/>
  <c r="F17" i="4"/>
  <c r="G17" i="4"/>
  <c r="C17" i="4"/>
  <c r="D15" i="4"/>
  <c r="E15" i="4"/>
  <c r="F15" i="4"/>
  <c r="G15" i="4"/>
  <c r="C15" i="4"/>
  <c r="D14" i="4"/>
  <c r="E14" i="4"/>
  <c r="F14" i="4"/>
  <c r="G14" i="4"/>
  <c r="C14" i="4"/>
  <c r="D13" i="4"/>
  <c r="D19" i="4" s="1"/>
  <c r="E13" i="4"/>
  <c r="E19" i="4" s="1"/>
  <c r="F13" i="4"/>
  <c r="F19" i="4" s="1"/>
  <c r="G13" i="4"/>
  <c r="G19" i="4" s="1"/>
  <c r="C13" i="4"/>
  <c r="J13" i="4" s="1"/>
  <c r="D12" i="4"/>
  <c r="E12" i="4"/>
  <c r="F12" i="4"/>
  <c r="G12" i="4"/>
  <c r="C12" i="4"/>
  <c r="D11" i="4"/>
  <c r="E11" i="4"/>
  <c r="F11" i="4"/>
  <c r="G11" i="4"/>
  <c r="C11" i="4"/>
  <c r="E9" i="4"/>
  <c r="F9" i="4"/>
  <c r="G9" i="4"/>
  <c r="D9" i="4"/>
  <c r="E8" i="4"/>
  <c r="F8" i="4"/>
  <c r="G8" i="4"/>
  <c r="D8" i="4"/>
  <c r="E7" i="4"/>
  <c r="F7" i="4"/>
  <c r="G7" i="4"/>
  <c r="D7" i="4"/>
  <c r="E6" i="4"/>
  <c r="F6" i="4"/>
  <c r="G6" i="4"/>
  <c r="D6" i="4"/>
  <c r="E5" i="4"/>
  <c r="F5" i="4"/>
  <c r="G5" i="4"/>
  <c r="D5" i="4"/>
  <c r="E4" i="4"/>
  <c r="F4" i="4"/>
  <c r="G4" i="4"/>
  <c r="D4" i="4"/>
  <c r="D2" i="4"/>
  <c r="E2" i="4"/>
  <c r="F2" i="4"/>
  <c r="G2" i="4"/>
  <c r="C2" i="4"/>
  <c r="D13" i="1"/>
  <c r="E13" i="1"/>
  <c r="F13" i="1"/>
  <c r="G13" i="1"/>
  <c r="C13" i="1"/>
  <c r="U44" i="1"/>
  <c r="U42" i="1"/>
  <c r="U43" i="1"/>
  <c r="T44" i="1"/>
  <c r="T42" i="1"/>
  <c r="T40" i="1"/>
  <c r="U40" i="1"/>
  <c r="T43" i="1"/>
  <c r="S40" i="1"/>
  <c r="S43" i="1"/>
  <c r="S42" i="1"/>
  <c r="S44" i="1" s="1"/>
  <c r="R43" i="1"/>
  <c r="R44" i="1"/>
  <c r="R42" i="1"/>
  <c r="R40" i="1"/>
  <c r="Q44" i="1"/>
  <c r="Q42" i="1"/>
  <c r="Q40" i="1"/>
  <c r="U38" i="1"/>
  <c r="T38" i="1"/>
  <c r="S38" i="1"/>
  <c r="R38" i="1"/>
  <c r="Q38" i="1"/>
  <c r="U30" i="1"/>
  <c r="T30" i="1"/>
  <c r="S30" i="1"/>
  <c r="R30" i="1"/>
  <c r="Q30" i="1"/>
  <c r="U23" i="1"/>
  <c r="T16" i="1"/>
  <c r="S15" i="1"/>
  <c r="T21" i="1"/>
  <c r="T23" i="1"/>
  <c r="S23" i="1"/>
  <c r="R23" i="1"/>
  <c r="Q23" i="1"/>
  <c r="M23" i="1"/>
  <c r="K23" i="1"/>
  <c r="L23" i="1"/>
  <c r="N23" i="1"/>
  <c r="J23" i="1"/>
  <c r="U13" i="1"/>
  <c r="N15" i="1"/>
  <c r="N24" i="1" s="1"/>
  <c r="M15" i="1"/>
  <c r="M24" i="1" s="1"/>
  <c r="L15" i="1"/>
  <c r="L24" i="1" s="1"/>
  <c r="K15" i="1"/>
  <c r="K24" i="1" s="1"/>
  <c r="J15" i="1"/>
  <c r="J24" i="1" s="1"/>
  <c r="J27" i="1" s="1"/>
  <c r="Q13" i="1" s="1"/>
  <c r="F62" i="1"/>
  <c r="F64" i="1" s="1"/>
  <c r="E62" i="1"/>
  <c r="E64" i="1" s="1"/>
  <c r="E66" i="1" s="1"/>
  <c r="F56" i="1"/>
  <c r="E56" i="1"/>
  <c r="F46" i="1"/>
  <c r="E46" i="1"/>
  <c r="F32" i="1"/>
  <c r="E32" i="1"/>
  <c r="F21" i="1"/>
  <c r="F34" i="1" s="1"/>
  <c r="E21" i="1"/>
  <c r="E34" i="1" s="1"/>
  <c r="D62" i="1"/>
  <c r="D64" i="1" s="1"/>
  <c r="D56" i="1"/>
  <c r="C56" i="1"/>
  <c r="D46" i="1"/>
  <c r="D32" i="1"/>
  <c r="D21" i="1"/>
  <c r="C62" i="1"/>
  <c r="C64" i="1" s="1"/>
  <c r="C46" i="1"/>
  <c r="C66" i="1" s="1"/>
  <c r="C32" i="1"/>
  <c r="C21" i="1"/>
  <c r="C34" i="1" s="1"/>
  <c r="G21" i="1"/>
  <c r="G46" i="1"/>
  <c r="G62" i="1"/>
  <c r="G64" i="1" s="1"/>
  <c r="G56" i="1"/>
  <c r="G32" i="1"/>
  <c r="R3" i="8" a="1"/>
  <c r="N3" i="8" a="1"/>
  <c r="J3" i="8" a="1"/>
  <c r="Z3" i="8" a="1"/>
  <c r="F3" i="8" a="1"/>
  <c r="B3" i="8" a="1"/>
  <c r="V3" i="8" a="1"/>
  <c r="G31" i="5" l="1"/>
  <c r="G33" i="5" s="1"/>
  <c r="G40" i="5"/>
  <c r="G50" i="5" s="1"/>
  <c r="H40" i="5"/>
  <c r="H50" i="5" s="1"/>
  <c r="H31" i="5"/>
  <c r="H33" i="5" s="1"/>
  <c r="E46" i="5"/>
  <c r="E49" i="5" s="1"/>
  <c r="E51" i="5" s="1"/>
  <c r="E27" i="5"/>
  <c r="E29" i="5" s="1"/>
  <c r="F46" i="5"/>
  <c r="F49" i="5" s="1"/>
  <c r="F51" i="5" s="1"/>
  <c r="F27" i="5"/>
  <c r="F29" i="5" s="1"/>
  <c r="G46" i="5"/>
  <c r="G49" i="5" s="1"/>
  <c r="G51" i="5" s="1"/>
  <c r="G27" i="5"/>
  <c r="G29" i="5" s="1"/>
  <c r="H46" i="5"/>
  <c r="H49" i="5" s="1"/>
  <c r="H51" i="5" s="1"/>
  <c r="H27" i="5"/>
  <c r="H29" i="5" s="1"/>
  <c r="D46" i="5"/>
  <c r="D49" i="5" s="1"/>
  <c r="D51" i="5" s="1"/>
  <c r="D27" i="5"/>
  <c r="D29" i="5" s="1"/>
  <c r="E39" i="5"/>
  <c r="E41" i="5" s="1"/>
  <c r="E23" i="5"/>
  <c r="E19" i="5"/>
  <c r="D23" i="4" s="1"/>
  <c r="D24" i="4" s="1"/>
  <c r="F39" i="5"/>
  <c r="F41" i="5" s="1"/>
  <c r="F19" i="5"/>
  <c r="E23" i="4" s="1"/>
  <c r="E24" i="4" s="1"/>
  <c r="F23" i="5"/>
  <c r="G39" i="5"/>
  <c r="G23" i="5"/>
  <c r="G19" i="5"/>
  <c r="F23" i="4" s="1"/>
  <c r="F24" i="4" s="1"/>
  <c r="H39" i="5"/>
  <c r="H19" i="5"/>
  <c r="G23" i="4" s="1"/>
  <c r="G24" i="4" s="1"/>
  <c r="H23" i="5"/>
  <c r="D39" i="5"/>
  <c r="D41" i="5" s="1"/>
  <c r="D19" i="5"/>
  <c r="C23" i="4" s="1"/>
  <c r="J23" i="4" s="1"/>
  <c r="D23" i="5"/>
  <c r="H263" i="11"/>
  <c r="F264" i="11"/>
  <c r="D256" i="11"/>
  <c r="E170" i="11"/>
  <c r="D266" i="11"/>
  <c r="E266" i="11" s="1"/>
  <c r="E72" i="11"/>
  <c r="E104" i="11"/>
  <c r="D157" i="11" s="1"/>
  <c r="D125" i="11"/>
  <c r="H125" i="11" s="1"/>
  <c r="D123" i="11"/>
  <c r="E123" i="11" s="1"/>
  <c r="D106" i="11"/>
  <c r="D122" i="11" s="1"/>
  <c r="E122" i="11" s="1"/>
  <c r="F122" i="11" s="1"/>
  <c r="G122" i="11" s="1"/>
  <c r="H122" i="11" s="1"/>
  <c r="I122" i="11" s="1"/>
  <c r="E78" i="11"/>
  <c r="G125" i="11"/>
  <c r="F125" i="11"/>
  <c r="E125" i="11"/>
  <c r="E109" i="11" s="1"/>
  <c r="E133" i="11" s="1"/>
  <c r="I125" i="11"/>
  <c r="H83" i="11"/>
  <c r="D238" i="11" s="1"/>
  <c r="D257" i="11" s="1"/>
  <c r="D258" i="11" s="1"/>
  <c r="E84" i="11"/>
  <c r="E92" i="11" s="1"/>
  <c r="E96" i="11" s="1"/>
  <c r="F94" i="11"/>
  <c r="F86" i="11"/>
  <c r="H86" i="11" s="1"/>
  <c r="D241" i="11" s="1"/>
  <c r="G66" i="11"/>
  <c r="H66" i="11" s="1"/>
  <c r="C15" i="11"/>
  <c r="D26" i="11"/>
  <c r="D24" i="11"/>
  <c r="D25" i="11"/>
  <c r="C33" i="7"/>
  <c r="C36" i="7" s="1"/>
  <c r="K24" i="7" s="1"/>
  <c r="C35" i="7"/>
  <c r="K23" i="7" s="1"/>
  <c r="H17" i="7"/>
  <c r="H16" i="7"/>
  <c r="G16" i="7"/>
  <c r="F32" i="7"/>
  <c r="G17" i="7"/>
  <c r="R3" i="8"/>
  <c r="T17" i="8"/>
  <c r="T18" i="8"/>
  <c r="T19" i="8"/>
  <c r="T20" i="8"/>
  <c r="T21" i="8"/>
  <c r="T22" i="8"/>
  <c r="T23" i="8"/>
  <c r="T24" i="8"/>
  <c r="T25" i="8"/>
  <c r="T26" i="8"/>
  <c r="T27" i="8"/>
  <c r="T28" i="8"/>
  <c r="T29" i="8"/>
  <c r="T30" i="8"/>
  <c r="T31" i="8"/>
  <c r="T32" i="8"/>
  <c r="T33" i="8"/>
  <c r="T34" i="8"/>
  <c r="T35" i="8"/>
  <c r="T36" i="8"/>
  <c r="T37" i="8"/>
  <c r="T38" i="8"/>
  <c r="T39" i="8"/>
  <c r="T40" i="8"/>
  <c r="T41" i="8"/>
  <c r="T42" i="8"/>
  <c r="T43" i="8"/>
  <c r="T44" i="8"/>
  <c r="T45" i="8"/>
  <c r="T46" i="8"/>
  <c r="T47" i="8"/>
  <c r="T48" i="8"/>
  <c r="T49" i="8"/>
  <c r="T50" i="8"/>
  <c r="T51" i="8"/>
  <c r="T52" i="8"/>
  <c r="T53" i="8"/>
  <c r="T54" i="8"/>
  <c r="T55" i="8"/>
  <c r="T56" i="8"/>
  <c r="T57" i="8"/>
  <c r="T58" i="8"/>
  <c r="T59" i="8"/>
  <c r="T60" i="8"/>
  <c r="T61" i="8"/>
  <c r="T62" i="8"/>
  <c r="T63" i="8"/>
  <c r="T64" i="8"/>
  <c r="T65" i="8"/>
  <c r="T66" i="8"/>
  <c r="T67" i="8"/>
  <c r="T68" i="8"/>
  <c r="T69" i="8"/>
  <c r="T70" i="8"/>
  <c r="T71" i="8"/>
  <c r="T72" i="8"/>
  <c r="T73" i="8"/>
  <c r="T74" i="8"/>
  <c r="T75" i="8"/>
  <c r="T76" i="8"/>
  <c r="T77" i="8"/>
  <c r="T78" i="8"/>
  <c r="T79" i="8"/>
  <c r="T80" i="8"/>
  <c r="T81" i="8"/>
  <c r="T82" i="8"/>
  <c r="T83" i="8"/>
  <c r="T84" i="8"/>
  <c r="T85" i="8"/>
  <c r="T86" i="8"/>
  <c r="T87" i="8"/>
  <c r="T88" i="8"/>
  <c r="T89" i="8"/>
  <c r="T90" i="8"/>
  <c r="T91" i="8"/>
  <c r="T92" i="8"/>
  <c r="T93" i="8"/>
  <c r="T94" i="8"/>
  <c r="T95" i="8"/>
  <c r="T96" i="8"/>
  <c r="T97" i="8"/>
  <c r="T98" i="8"/>
  <c r="T99" i="8"/>
  <c r="T100" i="8"/>
  <c r="T101" i="8"/>
  <c r="T102" i="8"/>
  <c r="T103" i="8"/>
  <c r="T104" i="8"/>
  <c r="T105" i="8"/>
  <c r="T106" i="8"/>
  <c r="T107" i="8"/>
  <c r="T108" i="8"/>
  <c r="T5" i="8"/>
  <c r="T15" i="8"/>
  <c r="T16" i="8"/>
  <c r="T6" i="8"/>
  <c r="T7" i="8"/>
  <c r="T8" i="8"/>
  <c r="T9" i="8"/>
  <c r="T10" i="8"/>
  <c r="T11" i="8"/>
  <c r="T12" i="8"/>
  <c r="T13" i="8"/>
  <c r="T14" i="8"/>
  <c r="N3" i="8"/>
  <c r="P17" i="8"/>
  <c r="P18" i="8"/>
  <c r="P19" i="8"/>
  <c r="P20" i="8"/>
  <c r="P21" i="8"/>
  <c r="P22" i="8"/>
  <c r="P23" i="8"/>
  <c r="P24" i="8"/>
  <c r="P25" i="8"/>
  <c r="P26" i="8"/>
  <c r="P27" i="8"/>
  <c r="P28" i="8"/>
  <c r="P29" i="8"/>
  <c r="P30" i="8"/>
  <c r="P31" i="8"/>
  <c r="P32" i="8"/>
  <c r="P33" i="8"/>
  <c r="P34" i="8"/>
  <c r="P35" i="8"/>
  <c r="P36" i="8"/>
  <c r="P37" i="8"/>
  <c r="P38" i="8"/>
  <c r="P39" i="8"/>
  <c r="P40" i="8"/>
  <c r="P41" i="8"/>
  <c r="P42" i="8"/>
  <c r="P43" i="8"/>
  <c r="P44" i="8"/>
  <c r="P45" i="8"/>
  <c r="P46" i="8"/>
  <c r="P47" i="8"/>
  <c r="P48" i="8"/>
  <c r="P49" i="8"/>
  <c r="P50" i="8"/>
  <c r="P51" i="8"/>
  <c r="P52" i="8"/>
  <c r="P53" i="8"/>
  <c r="P54" i="8"/>
  <c r="P55" i="8"/>
  <c r="P56" i="8"/>
  <c r="P57" i="8"/>
  <c r="P58" i="8"/>
  <c r="P59" i="8"/>
  <c r="P60" i="8"/>
  <c r="P61" i="8"/>
  <c r="P62" i="8"/>
  <c r="P63" i="8"/>
  <c r="P64" i="8"/>
  <c r="P65" i="8"/>
  <c r="P66" i="8"/>
  <c r="P67" i="8"/>
  <c r="P6" i="8"/>
  <c r="P69" i="8"/>
  <c r="P70" i="8"/>
  <c r="P71" i="8"/>
  <c r="P72" i="8"/>
  <c r="P73" i="8"/>
  <c r="P74" i="8"/>
  <c r="P75" i="8"/>
  <c r="P76" i="8"/>
  <c r="P77" i="8"/>
  <c r="P78" i="8"/>
  <c r="P79" i="8"/>
  <c r="P80" i="8"/>
  <c r="P81" i="8"/>
  <c r="P82" i="8"/>
  <c r="P83" i="8"/>
  <c r="P84" i="8"/>
  <c r="P85" i="8"/>
  <c r="P86" i="8"/>
  <c r="P87" i="8"/>
  <c r="P88" i="8"/>
  <c r="P89" i="8"/>
  <c r="P90" i="8"/>
  <c r="P91" i="8"/>
  <c r="P92" i="8"/>
  <c r="P93" i="8"/>
  <c r="P68" i="8"/>
  <c r="P95" i="8"/>
  <c r="P96" i="8"/>
  <c r="P97" i="8"/>
  <c r="P98" i="8"/>
  <c r="P99" i="8"/>
  <c r="P100" i="8"/>
  <c r="P101" i="8"/>
  <c r="P102" i="8"/>
  <c r="P103" i="8"/>
  <c r="P104" i="8"/>
  <c r="P105" i="8"/>
  <c r="P106" i="8"/>
  <c r="P107" i="8"/>
  <c r="P108" i="8"/>
  <c r="P5" i="8"/>
  <c r="P7" i="8"/>
  <c r="P8" i="8"/>
  <c r="P9" i="8"/>
  <c r="P10" i="8"/>
  <c r="P11" i="8"/>
  <c r="P12" i="8"/>
  <c r="P13" i="8"/>
  <c r="P14" i="8"/>
  <c r="P15" i="8"/>
  <c r="P16" i="8"/>
  <c r="P94" i="8"/>
  <c r="J3" i="8"/>
  <c r="L17" i="8"/>
  <c r="L18" i="8"/>
  <c r="L19" i="8"/>
  <c r="L20" i="8"/>
  <c r="L21" i="8"/>
  <c r="L22" i="8"/>
  <c r="L23" i="8"/>
  <c r="L24" i="8"/>
  <c r="L25" i="8"/>
  <c r="L26" i="8"/>
  <c r="L27" i="8"/>
  <c r="L28" i="8"/>
  <c r="L29" i="8"/>
  <c r="L30" i="8"/>
  <c r="L31" i="8"/>
  <c r="L32" i="8"/>
  <c r="L33" i="8"/>
  <c r="L34" i="8"/>
  <c r="L35" i="8"/>
  <c r="L36" i="8"/>
  <c r="L37" i="8"/>
  <c r="L38" i="8"/>
  <c r="L39" i="8"/>
  <c r="L40" i="8"/>
  <c r="L41" i="8"/>
  <c r="L42" i="8"/>
  <c r="L43" i="8"/>
  <c r="L44" i="8"/>
  <c r="L45" i="8"/>
  <c r="L46" i="8"/>
  <c r="L47" i="8"/>
  <c r="L48" i="8"/>
  <c r="L49" i="8"/>
  <c r="L50" i="8"/>
  <c r="L51" i="8"/>
  <c r="L52" i="8"/>
  <c r="L53" i="8"/>
  <c r="L54" i="8"/>
  <c r="L55" i="8"/>
  <c r="L56" i="8"/>
  <c r="L57" i="8"/>
  <c r="L58" i="8"/>
  <c r="L59" i="8"/>
  <c r="L60" i="8"/>
  <c r="L61" i="8"/>
  <c r="L62" i="8"/>
  <c r="L63" i="8"/>
  <c r="L64" i="8"/>
  <c r="L65" i="8"/>
  <c r="L66" i="8"/>
  <c r="L67" i="8"/>
  <c r="L68" i="8"/>
  <c r="L69" i="8"/>
  <c r="L70" i="8"/>
  <c r="L71" i="8"/>
  <c r="L72" i="8"/>
  <c r="L73" i="8"/>
  <c r="L74" i="8"/>
  <c r="L75" i="8"/>
  <c r="L76" i="8"/>
  <c r="L77" i="8"/>
  <c r="L78" i="8"/>
  <c r="L79" i="8"/>
  <c r="L80" i="8"/>
  <c r="L81" i="8"/>
  <c r="L82" i="8"/>
  <c r="L83" i="8"/>
  <c r="L84" i="8"/>
  <c r="L85" i="8"/>
  <c r="L86" i="8"/>
  <c r="L87" i="8"/>
  <c r="L88" i="8"/>
  <c r="L89" i="8"/>
  <c r="L90" i="8"/>
  <c r="L91" i="8"/>
  <c r="L92" i="8"/>
  <c r="L93" i="8"/>
  <c r="L94" i="8"/>
  <c r="L95" i="8"/>
  <c r="L96" i="8"/>
  <c r="L97" i="8"/>
  <c r="L98" i="8"/>
  <c r="L99" i="8"/>
  <c r="L100" i="8"/>
  <c r="L101" i="8"/>
  <c r="L102" i="8"/>
  <c r="L103" i="8"/>
  <c r="L104" i="8"/>
  <c r="L105" i="8"/>
  <c r="L106" i="8"/>
  <c r="L107" i="8"/>
  <c r="L108" i="8"/>
  <c r="L5" i="8"/>
  <c r="L6" i="8"/>
  <c r="L7" i="8"/>
  <c r="L8" i="8"/>
  <c r="L9" i="8"/>
  <c r="L10" i="8"/>
  <c r="L11" i="8"/>
  <c r="L12" i="8"/>
  <c r="L13" i="8"/>
  <c r="L14" i="8"/>
  <c r="L15" i="8"/>
  <c r="L16" i="8"/>
  <c r="F3" i="8"/>
  <c r="H10" i="8"/>
  <c r="H11" i="8"/>
  <c r="H12" i="8"/>
  <c r="H13" i="8"/>
  <c r="H14" i="8"/>
  <c r="H15" i="8"/>
  <c r="H16" i="8"/>
  <c r="H17" i="8"/>
  <c r="H18" i="8"/>
  <c r="H19" i="8"/>
  <c r="H20" i="8"/>
  <c r="H21" i="8"/>
  <c r="H22" i="8"/>
  <c r="H23" i="8"/>
  <c r="H24" i="8"/>
  <c r="H25" i="8"/>
  <c r="H26" i="8"/>
  <c r="H27" i="8"/>
  <c r="H28" i="8"/>
  <c r="H29" i="8"/>
  <c r="H30" i="8"/>
  <c r="H31" i="8"/>
  <c r="H32" i="8"/>
  <c r="H33" i="8"/>
  <c r="H34" i="8"/>
  <c r="H35" i="8"/>
  <c r="H36" i="8"/>
  <c r="H37" i="8"/>
  <c r="H38" i="8"/>
  <c r="H39" i="8"/>
  <c r="H40" i="8"/>
  <c r="H41" i="8"/>
  <c r="H42" i="8"/>
  <c r="H43" i="8"/>
  <c r="H44" i="8"/>
  <c r="H45" i="8"/>
  <c r="H46" i="8"/>
  <c r="H47" i="8"/>
  <c r="H48" i="8"/>
  <c r="H49" i="8"/>
  <c r="H51" i="8"/>
  <c r="H52" i="8"/>
  <c r="H53" i="8"/>
  <c r="H54" i="8"/>
  <c r="H56" i="8"/>
  <c r="H58" i="8"/>
  <c r="H60" i="8"/>
  <c r="H61" i="8"/>
  <c r="H63" i="8"/>
  <c r="H65" i="8"/>
  <c r="H67" i="8"/>
  <c r="H9" i="8"/>
  <c r="H69" i="8"/>
  <c r="H70" i="8"/>
  <c r="H71" i="8"/>
  <c r="H72" i="8"/>
  <c r="H73" i="8"/>
  <c r="H74" i="8"/>
  <c r="H75" i="8"/>
  <c r="H76" i="8"/>
  <c r="H77" i="8"/>
  <c r="H78" i="8"/>
  <c r="H79" i="8"/>
  <c r="H80" i="8"/>
  <c r="H81" i="8"/>
  <c r="H82" i="8"/>
  <c r="H83" i="8"/>
  <c r="H84" i="8"/>
  <c r="H85" i="8"/>
  <c r="H86" i="8"/>
  <c r="H87" i="8"/>
  <c r="H88" i="8"/>
  <c r="H89" i="8"/>
  <c r="H90" i="8"/>
  <c r="H91" i="8"/>
  <c r="H92" i="8"/>
  <c r="H93" i="8"/>
  <c r="H94" i="8"/>
  <c r="H95" i="8"/>
  <c r="H96" i="8"/>
  <c r="H97" i="8"/>
  <c r="H98" i="8"/>
  <c r="H99" i="8"/>
  <c r="H100" i="8"/>
  <c r="H101" i="8"/>
  <c r="H102" i="8"/>
  <c r="H103" i="8"/>
  <c r="H104" i="8"/>
  <c r="H105" i="8"/>
  <c r="H106" i="8"/>
  <c r="H107" i="8"/>
  <c r="H108" i="8"/>
  <c r="H5" i="8"/>
  <c r="H62" i="8"/>
  <c r="H64" i="8"/>
  <c r="H66" i="8"/>
  <c r="H50" i="8"/>
  <c r="H55" i="8"/>
  <c r="H57" i="8"/>
  <c r="H6" i="8"/>
  <c r="H7" i="8"/>
  <c r="H8" i="8"/>
  <c r="H59" i="8"/>
  <c r="H68" i="8"/>
  <c r="I10" i="6"/>
  <c r="G10" i="6"/>
  <c r="E10" i="6"/>
  <c r="E11" i="6"/>
  <c r="E12" i="6"/>
  <c r="H14" i="10" a="1"/>
  <c r="H14" i="10" s="1"/>
  <c r="H12" i="10"/>
  <c r="I12" i="10"/>
  <c r="J12" i="10"/>
  <c r="K12" i="10"/>
  <c r="L12" i="10"/>
  <c r="G12" i="10"/>
  <c r="G16" i="10" s="1"/>
  <c r="M10" i="6"/>
  <c r="H13" i="10" a="1"/>
  <c r="H13" i="10" s="1"/>
  <c r="K12" i="6"/>
  <c r="I11" i="6"/>
  <c r="J12" i="4"/>
  <c r="J21" i="4"/>
  <c r="J22" i="4"/>
  <c r="J25" i="4"/>
  <c r="J27" i="4"/>
  <c r="J28" i="4"/>
  <c r="J29" i="4"/>
  <c r="J30" i="4"/>
  <c r="E36" i="4"/>
  <c r="F36" i="4"/>
  <c r="G36" i="4"/>
  <c r="D36" i="4"/>
  <c r="I28" i="4"/>
  <c r="I30" i="4"/>
  <c r="I12" i="4"/>
  <c r="I40" i="4"/>
  <c r="J40" i="4"/>
  <c r="J39" i="4"/>
  <c r="I39" i="4"/>
  <c r="J38" i="4"/>
  <c r="I38" i="4"/>
  <c r="J35" i="4"/>
  <c r="I35" i="4"/>
  <c r="I34" i="4"/>
  <c r="J34" i="4"/>
  <c r="C36" i="4"/>
  <c r="J33" i="4"/>
  <c r="I33" i="4"/>
  <c r="J31" i="4"/>
  <c r="I31" i="4"/>
  <c r="I18" i="4"/>
  <c r="J18" i="4"/>
  <c r="J17" i="4"/>
  <c r="I17" i="4"/>
  <c r="I15" i="4"/>
  <c r="J15" i="4"/>
  <c r="J14" i="4"/>
  <c r="I14" i="4"/>
  <c r="I13" i="4"/>
  <c r="C19" i="4"/>
  <c r="I11" i="4"/>
  <c r="J11" i="4"/>
  <c r="J9" i="4"/>
  <c r="I9" i="4"/>
  <c r="I8" i="4"/>
  <c r="J8" i="4"/>
  <c r="I7" i="4"/>
  <c r="J7" i="4"/>
  <c r="J6" i="4"/>
  <c r="I6" i="4"/>
  <c r="I5" i="4"/>
  <c r="J5" i="4"/>
  <c r="I4" i="4"/>
  <c r="J4" i="4"/>
  <c r="V3" i="8"/>
  <c r="X7" i="8"/>
  <c r="X8" i="8"/>
  <c r="X9" i="8"/>
  <c r="X10" i="8"/>
  <c r="X11" i="8"/>
  <c r="X12" i="8"/>
  <c r="X13" i="8"/>
  <c r="X14" i="8"/>
  <c r="X15" i="8"/>
  <c r="X16" i="8"/>
  <c r="X17" i="8"/>
  <c r="X18" i="8"/>
  <c r="X19" i="8"/>
  <c r="X20" i="8"/>
  <c r="X21" i="8"/>
  <c r="X22" i="8"/>
  <c r="X23" i="8"/>
  <c r="X24" i="8"/>
  <c r="X25" i="8"/>
  <c r="X26" i="8"/>
  <c r="X27" i="8"/>
  <c r="X28" i="8"/>
  <c r="X29" i="8"/>
  <c r="X30" i="8"/>
  <c r="X31" i="8"/>
  <c r="X32" i="8"/>
  <c r="X33" i="8"/>
  <c r="X34" i="8"/>
  <c r="X35" i="8"/>
  <c r="X36" i="8"/>
  <c r="X37" i="8"/>
  <c r="X38" i="8"/>
  <c r="X39" i="8"/>
  <c r="X40" i="8"/>
  <c r="X41" i="8"/>
  <c r="X42" i="8"/>
  <c r="X43" i="8"/>
  <c r="X44" i="8"/>
  <c r="X45" i="8"/>
  <c r="X58" i="8"/>
  <c r="X46" i="8"/>
  <c r="X47" i="8"/>
  <c r="X48" i="8"/>
  <c r="X49" i="8"/>
  <c r="X50" i="8"/>
  <c r="X51" i="8"/>
  <c r="X52" i="8"/>
  <c r="X53" i="8"/>
  <c r="X54" i="8"/>
  <c r="X55" i="8"/>
  <c r="X56" i="8"/>
  <c r="X57" i="8"/>
  <c r="X6" i="8"/>
  <c r="X59" i="8"/>
  <c r="X60" i="8"/>
  <c r="X61" i="8"/>
  <c r="X62" i="8"/>
  <c r="X63" i="8"/>
  <c r="X64" i="8"/>
  <c r="X65" i="8"/>
  <c r="X66" i="8"/>
  <c r="X67" i="8"/>
  <c r="X68" i="8"/>
  <c r="X69" i="8"/>
  <c r="X70" i="8"/>
  <c r="X71" i="8"/>
  <c r="X72" i="8"/>
  <c r="X73" i="8"/>
  <c r="X74" i="8"/>
  <c r="X75" i="8"/>
  <c r="X76" i="8"/>
  <c r="X77" i="8"/>
  <c r="X78" i="8"/>
  <c r="X79" i="8"/>
  <c r="X80" i="8"/>
  <c r="X81" i="8"/>
  <c r="X82" i="8"/>
  <c r="X83" i="8"/>
  <c r="X84" i="8"/>
  <c r="X85" i="8"/>
  <c r="X86" i="8"/>
  <c r="X87" i="8"/>
  <c r="X88" i="8"/>
  <c r="X89" i="8"/>
  <c r="X90" i="8"/>
  <c r="X91" i="8"/>
  <c r="X92" i="8"/>
  <c r="X93" i="8"/>
  <c r="X94" i="8"/>
  <c r="X95" i="8"/>
  <c r="X96" i="8"/>
  <c r="X97" i="8"/>
  <c r="X98" i="8"/>
  <c r="X99" i="8"/>
  <c r="X100" i="8"/>
  <c r="X101" i="8"/>
  <c r="X102" i="8"/>
  <c r="X103" i="8"/>
  <c r="X104" i="8"/>
  <c r="X105" i="8"/>
  <c r="X106" i="8"/>
  <c r="X107" i="8"/>
  <c r="X108" i="8"/>
  <c r="X5" i="8"/>
  <c r="Z3" i="8"/>
  <c r="AB58" i="8"/>
  <c r="AB59" i="8"/>
  <c r="AB60" i="8"/>
  <c r="AB61" i="8"/>
  <c r="AB62" i="8"/>
  <c r="AB63" i="8"/>
  <c r="AB64" i="8"/>
  <c r="AB65" i="8"/>
  <c r="AB66" i="8"/>
  <c r="AB67" i="8"/>
  <c r="AB68" i="8"/>
  <c r="AB69" i="8"/>
  <c r="AB70" i="8"/>
  <c r="AB71" i="8"/>
  <c r="AB72" i="8"/>
  <c r="AB73" i="8"/>
  <c r="AB74" i="8"/>
  <c r="AB75" i="8"/>
  <c r="AB76" i="8"/>
  <c r="AB77" i="8"/>
  <c r="AB78" i="8"/>
  <c r="AB79" i="8"/>
  <c r="AB80" i="8"/>
  <c r="AB81" i="8"/>
  <c r="AB82" i="8"/>
  <c r="AB83" i="8"/>
  <c r="AB84" i="8"/>
  <c r="AB85" i="8"/>
  <c r="AB86" i="8"/>
  <c r="AB87" i="8"/>
  <c r="AB88" i="8"/>
  <c r="AB89" i="8"/>
  <c r="AB90" i="8"/>
  <c r="AB91" i="8"/>
  <c r="AB92" i="8"/>
  <c r="AB93" i="8"/>
  <c r="AB94" i="8"/>
  <c r="AB95" i="8"/>
  <c r="AB96" i="8"/>
  <c r="AB97" i="8"/>
  <c r="AB98" i="8"/>
  <c r="AB99" i="8"/>
  <c r="AB100" i="8"/>
  <c r="AB101" i="8"/>
  <c r="AB102" i="8"/>
  <c r="AB103" i="8"/>
  <c r="AB104" i="8"/>
  <c r="AB105" i="8"/>
  <c r="AB106" i="8"/>
  <c r="AB107" i="8"/>
  <c r="AB108" i="8"/>
  <c r="AB5" i="8"/>
  <c r="AB45" i="8"/>
  <c r="AB6" i="8"/>
  <c r="AB7" i="8"/>
  <c r="AB8" i="8"/>
  <c r="AB9" i="8"/>
  <c r="AB10" i="8"/>
  <c r="AB11" i="8"/>
  <c r="AB12" i="8"/>
  <c r="AB13" i="8"/>
  <c r="AB14" i="8"/>
  <c r="AB15" i="8"/>
  <c r="AB16" i="8"/>
  <c r="AB17" i="8"/>
  <c r="AB18" i="8"/>
  <c r="AB19" i="8"/>
  <c r="AB20" i="8"/>
  <c r="AB21" i="8"/>
  <c r="AB22" i="8"/>
  <c r="AB23" i="8"/>
  <c r="AB24" i="8"/>
  <c r="AB25" i="8"/>
  <c r="AB26" i="8"/>
  <c r="AB27" i="8"/>
  <c r="AB28" i="8"/>
  <c r="AB29" i="8"/>
  <c r="AB30" i="8"/>
  <c r="AB31" i="8"/>
  <c r="AB32" i="8"/>
  <c r="AB33" i="8"/>
  <c r="AB34" i="8"/>
  <c r="AB35" i="8"/>
  <c r="AB36" i="8"/>
  <c r="AB37" i="8"/>
  <c r="AB38" i="8"/>
  <c r="AB39" i="8"/>
  <c r="AB40" i="8"/>
  <c r="AB41" i="8"/>
  <c r="AB42" i="8"/>
  <c r="AB43" i="8"/>
  <c r="AB44" i="8"/>
  <c r="AB46" i="8"/>
  <c r="AB47" i="8"/>
  <c r="AB48" i="8"/>
  <c r="AB49" i="8"/>
  <c r="AB50" i="8"/>
  <c r="AB51" i="8"/>
  <c r="AB52" i="8"/>
  <c r="AB53" i="8"/>
  <c r="AB54" i="8"/>
  <c r="AB55" i="8"/>
  <c r="AB56" i="8"/>
  <c r="AB57" i="8"/>
  <c r="AF6" i="8"/>
  <c r="AF7" i="8"/>
  <c r="AF8" i="8"/>
  <c r="AF9" i="8"/>
  <c r="AF10" i="8"/>
  <c r="AF11" i="8"/>
  <c r="AF12" i="8"/>
  <c r="AF13" i="8"/>
  <c r="AF14" i="8"/>
  <c r="AF15" i="8"/>
  <c r="AF16" i="8"/>
  <c r="AF17" i="8"/>
  <c r="AF18" i="8"/>
  <c r="AF19" i="8"/>
  <c r="AF20" i="8"/>
  <c r="AF21" i="8"/>
  <c r="AF22" i="8"/>
  <c r="AF23" i="8"/>
  <c r="AF24" i="8"/>
  <c r="AF25" i="8"/>
  <c r="AF26" i="8"/>
  <c r="AF27" i="8"/>
  <c r="AF28" i="8"/>
  <c r="AF29" i="8"/>
  <c r="AF30" i="8"/>
  <c r="AF31" i="8"/>
  <c r="AF32" i="8"/>
  <c r="AF33" i="8"/>
  <c r="AF34" i="8"/>
  <c r="AF35" i="8"/>
  <c r="AF36" i="8"/>
  <c r="AF37" i="8"/>
  <c r="AF38" i="8"/>
  <c r="AF39" i="8"/>
  <c r="AF40" i="8"/>
  <c r="AF41" i="8"/>
  <c r="AF42" i="8"/>
  <c r="AF43" i="8"/>
  <c r="AF44" i="8"/>
  <c r="AF45" i="8"/>
  <c r="AF46" i="8"/>
  <c r="AF47" i="8"/>
  <c r="AF48" i="8"/>
  <c r="AF49" i="8"/>
  <c r="AF50" i="8"/>
  <c r="AF51" i="8"/>
  <c r="AF52" i="8"/>
  <c r="AF53" i="8"/>
  <c r="AF54" i="8"/>
  <c r="AF55" i="8"/>
  <c r="AF56" i="8"/>
  <c r="AF57" i="8"/>
  <c r="AF58" i="8"/>
  <c r="AF59" i="8"/>
  <c r="AF60" i="8"/>
  <c r="AF61" i="8"/>
  <c r="AF62" i="8"/>
  <c r="AF63" i="8"/>
  <c r="AF64" i="8"/>
  <c r="AF65" i="8"/>
  <c r="AF66" i="8"/>
  <c r="AF67" i="8"/>
  <c r="AF68" i="8"/>
  <c r="AF69" i="8"/>
  <c r="AF70" i="8"/>
  <c r="AF71" i="8"/>
  <c r="AF72" i="8"/>
  <c r="AF73" i="8"/>
  <c r="AF74" i="8"/>
  <c r="AF75" i="8"/>
  <c r="AF76" i="8"/>
  <c r="AF77" i="8"/>
  <c r="AF78" i="8"/>
  <c r="AF79" i="8"/>
  <c r="AF80" i="8"/>
  <c r="AF81" i="8"/>
  <c r="AF82" i="8"/>
  <c r="AF83" i="8"/>
  <c r="AF84" i="8"/>
  <c r="AF85" i="8"/>
  <c r="AF86" i="8"/>
  <c r="AF87" i="8"/>
  <c r="AF88" i="8"/>
  <c r="AF89" i="8"/>
  <c r="AF90" i="8"/>
  <c r="AF91" i="8"/>
  <c r="AF92" i="8"/>
  <c r="AF93" i="8"/>
  <c r="AF94" i="8"/>
  <c r="AF95" i="8"/>
  <c r="AF96" i="8"/>
  <c r="AF97" i="8"/>
  <c r="AF98" i="8"/>
  <c r="AF99" i="8"/>
  <c r="AF100" i="8"/>
  <c r="AF101" i="8"/>
  <c r="AF102" i="8"/>
  <c r="AF103" i="8"/>
  <c r="AF104" i="8"/>
  <c r="AF105" i="8"/>
  <c r="AF106" i="8"/>
  <c r="AF107" i="8"/>
  <c r="AF108" i="8"/>
  <c r="B3"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8" i="8"/>
  <c r="D59" i="8"/>
  <c r="D60" i="8"/>
  <c r="D61" i="8"/>
  <c r="D62" i="8"/>
  <c r="D64" i="8"/>
  <c r="D65" i="8"/>
  <c r="D66" i="8"/>
  <c r="D67" i="8"/>
  <c r="D68" i="8"/>
  <c r="D69" i="8"/>
  <c r="D70" i="8"/>
  <c r="D71" i="8"/>
  <c r="D72" i="8"/>
  <c r="D73" i="8"/>
  <c r="D74" i="8"/>
  <c r="D75" i="8"/>
  <c r="D76" i="8"/>
  <c r="D77" i="8"/>
  <c r="D78" i="8"/>
  <c r="D79" i="8"/>
  <c r="D80" i="8"/>
  <c r="D82" i="8"/>
  <c r="D83" i="8"/>
  <c r="D84" i="8"/>
  <c r="D86" i="8"/>
  <c r="D88" i="8"/>
  <c r="D90" i="8"/>
  <c r="D91" i="8"/>
  <c r="D93" i="8"/>
  <c r="D95" i="8"/>
  <c r="D97" i="8"/>
  <c r="D99" i="8"/>
  <c r="D57" i="8"/>
  <c r="D81" i="8"/>
  <c r="D85" i="8"/>
  <c r="D87" i="8"/>
  <c r="D89" i="8"/>
  <c r="D92" i="8"/>
  <c r="D94" i="8"/>
  <c r="D96" i="8"/>
  <c r="D98" i="8"/>
  <c r="D100" i="8"/>
  <c r="D101" i="8"/>
  <c r="D102" i="8"/>
  <c r="D103" i="8"/>
  <c r="D104" i="8"/>
  <c r="D105" i="8"/>
  <c r="D106" i="8"/>
  <c r="D107" i="8"/>
  <c r="D108" i="8"/>
  <c r="D5" i="8"/>
  <c r="D63" i="8"/>
  <c r="F33" i="5"/>
  <c r="F66" i="1"/>
  <c r="N27" i="1"/>
  <c r="N29" i="1" s="1"/>
  <c r="N31" i="1" s="1"/>
  <c r="N22" i="1"/>
  <c r="M27" i="1"/>
  <c r="M22" i="1"/>
  <c r="L27" i="1"/>
  <c r="L22" i="1"/>
  <c r="K27" i="1"/>
  <c r="K22" i="1"/>
  <c r="J22" i="1"/>
  <c r="D66" i="1"/>
  <c r="D34" i="1"/>
  <c r="G34" i="1"/>
  <c r="G66" i="1"/>
  <c r="E45" i="5" l="1"/>
  <c r="E47" i="5" s="1"/>
  <c r="E53" i="5" s="1"/>
  <c r="E25" i="5"/>
  <c r="E35" i="5" s="1"/>
  <c r="F25" i="5"/>
  <c r="F35" i="5" s="1"/>
  <c r="F45" i="5"/>
  <c r="F47" i="5" s="1"/>
  <c r="F53" i="5" s="1"/>
  <c r="G45" i="5"/>
  <c r="G47" i="5" s="1"/>
  <c r="G53" i="5" s="1"/>
  <c r="G25" i="5"/>
  <c r="G35" i="5" s="1"/>
  <c r="H25" i="5"/>
  <c r="H35" i="5" s="1"/>
  <c r="H45" i="5"/>
  <c r="H47" i="5" s="1"/>
  <c r="H53" i="5" s="1"/>
  <c r="C24" i="4"/>
  <c r="I23" i="4"/>
  <c r="D25" i="5"/>
  <c r="D35" i="5" s="1"/>
  <c r="D45" i="5"/>
  <c r="D47" i="5" s="1"/>
  <c r="D53" i="5" s="1"/>
  <c r="E107" i="11"/>
  <c r="F123" i="11"/>
  <c r="G123" i="11" s="1"/>
  <c r="H123" i="11" s="1"/>
  <c r="I123" i="11" s="1"/>
  <c r="I263" i="11"/>
  <c r="G264" i="11"/>
  <c r="E172" i="11"/>
  <c r="F170" i="11"/>
  <c r="F266" i="11"/>
  <c r="E227" i="11"/>
  <c r="F104" i="11"/>
  <c r="F237" i="11" s="1"/>
  <c r="E237" i="11"/>
  <c r="E142" i="11"/>
  <c r="E143" i="11" s="1"/>
  <c r="E223" i="11"/>
  <c r="D239" i="11"/>
  <c r="D265" i="11"/>
  <c r="E265" i="11" s="1"/>
  <c r="F109" i="11"/>
  <c r="F133" i="11" s="1"/>
  <c r="H84" i="11"/>
  <c r="E98" i="11"/>
  <c r="G104" i="11"/>
  <c r="F107" i="11"/>
  <c r="H72" i="11"/>
  <c r="D222" i="11"/>
  <c r="D228" i="11" s="1"/>
  <c r="D108" i="11"/>
  <c r="G107" i="11"/>
  <c r="D27" i="11"/>
  <c r="D36" i="11"/>
  <c r="I24" i="11"/>
  <c r="I35" i="11"/>
  <c r="C49" i="11"/>
  <c r="C52" i="11" s="1"/>
  <c r="C55" i="11" s="1"/>
  <c r="I26" i="11"/>
  <c r="D38" i="11"/>
  <c r="I25" i="11"/>
  <c r="D37" i="11"/>
  <c r="C3" i="9"/>
  <c r="D3" i="9" s="1"/>
  <c r="I10" i="7" s="1"/>
  <c r="J10" i="7" s="1"/>
  <c r="D7" i="9"/>
  <c r="I14" i="7" s="1"/>
  <c r="J14" i="7" s="1"/>
  <c r="C5" i="9"/>
  <c r="D5" i="9" s="1"/>
  <c r="I12" i="7" s="1"/>
  <c r="J12" i="7" s="1"/>
  <c r="C4" i="9"/>
  <c r="D4" i="9" s="1"/>
  <c r="I11" i="7" s="1"/>
  <c r="J11" i="7" s="1"/>
  <c r="C6" i="9"/>
  <c r="D6" i="9" s="1"/>
  <c r="I13" i="7" s="1"/>
  <c r="H11" i="10" a="1"/>
  <c r="G11" i="6"/>
  <c r="M11" i="6"/>
  <c r="M12" i="6"/>
  <c r="K11" i="6"/>
  <c r="K13" i="6"/>
  <c r="K14" i="6"/>
  <c r="I12" i="6"/>
  <c r="J36" i="4"/>
  <c r="I36" i="4"/>
  <c r="I19" i="4"/>
  <c r="J19" i="4"/>
  <c r="G12" i="6"/>
  <c r="G41" i="5"/>
  <c r="H41" i="5"/>
  <c r="M29" i="1"/>
  <c r="M31" i="1" s="1"/>
  <c r="T13" i="1"/>
  <c r="L29" i="1"/>
  <c r="L31" i="1" s="1"/>
  <c r="S13" i="1"/>
  <c r="K29" i="1"/>
  <c r="R13" i="1"/>
  <c r="K31" i="1"/>
  <c r="J29" i="1"/>
  <c r="J31" i="1" s="1"/>
  <c r="J24" i="4" l="1"/>
  <c r="I24" i="4"/>
  <c r="G237" i="11"/>
  <c r="H264" i="11"/>
  <c r="E173" i="11"/>
  <c r="E179" i="11"/>
  <c r="E212" i="11" s="1"/>
  <c r="G170" i="11"/>
  <c r="F172" i="11"/>
  <c r="F173" i="11" s="1"/>
  <c r="F179" i="11" s="1"/>
  <c r="F212" i="11" s="1"/>
  <c r="F227" i="11"/>
  <c r="G266" i="11"/>
  <c r="F223" i="11"/>
  <c r="F142" i="11"/>
  <c r="F143" i="11" s="1"/>
  <c r="F265" i="11"/>
  <c r="E238" i="11"/>
  <c r="G109" i="11"/>
  <c r="G133" i="11" s="1"/>
  <c r="G142" i="11"/>
  <c r="G143" i="11" s="1"/>
  <c r="G223" i="11"/>
  <c r="E106" i="11"/>
  <c r="D124" i="11"/>
  <c r="D113" i="11"/>
  <c r="D116" i="11" s="1"/>
  <c r="D117" i="11" s="1"/>
  <c r="G88" i="11"/>
  <c r="H88" i="11" s="1"/>
  <c r="D243" i="11" s="1"/>
  <c r="E191" i="11"/>
  <c r="G89" i="11"/>
  <c r="H89" i="11" s="1"/>
  <c r="D244" i="11" s="1"/>
  <c r="E199" i="11"/>
  <c r="H104" i="11"/>
  <c r="G87" i="11"/>
  <c r="H87" i="11" s="1"/>
  <c r="D242" i="11" s="1"/>
  <c r="E182" i="11"/>
  <c r="I27" i="11"/>
  <c r="C56" i="11"/>
  <c r="F77" i="11" s="1"/>
  <c r="H77" i="11" s="1"/>
  <c r="D232" i="11" s="1"/>
  <c r="C57" i="11"/>
  <c r="F74" i="11" s="1"/>
  <c r="H74" i="11" s="1"/>
  <c r="D230" i="11" s="1"/>
  <c r="D39" i="11"/>
  <c r="J13" i="7"/>
  <c r="I16" i="7"/>
  <c r="I17" i="7"/>
  <c r="H11" i="10"/>
  <c r="H15" i="10" a="1"/>
  <c r="I13" i="6"/>
  <c r="I14" i="6"/>
  <c r="G14" i="6"/>
  <c r="G13" i="6"/>
  <c r="H237" i="11" l="1"/>
  <c r="I264" i="11"/>
  <c r="G172" i="11"/>
  <c r="G173" i="11" s="1"/>
  <c r="G179" i="11" s="1"/>
  <c r="G212" i="11" s="1"/>
  <c r="H170" i="11"/>
  <c r="G227" i="11"/>
  <c r="H266" i="11"/>
  <c r="F238" i="11"/>
  <c r="G265" i="11"/>
  <c r="H107" i="11"/>
  <c r="H142" i="11"/>
  <c r="H143" i="11" s="1"/>
  <c r="H223" i="11"/>
  <c r="E115" i="11"/>
  <c r="H134" i="11"/>
  <c r="E134" i="11"/>
  <c r="G134" i="11"/>
  <c r="F134" i="11"/>
  <c r="I134" i="11"/>
  <c r="G115" i="11"/>
  <c r="F115" i="11"/>
  <c r="H115" i="11"/>
  <c r="I115" i="11"/>
  <c r="E208" i="11"/>
  <c r="E135" i="11" s="1"/>
  <c r="E193" i="11"/>
  <c r="E196" i="11"/>
  <c r="E214" i="11" s="1"/>
  <c r="E105" i="11"/>
  <c r="E108" i="11"/>
  <c r="E281" i="11" s="1"/>
  <c r="E283" i="11" s="1"/>
  <c r="I104" i="11"/>
  <c r="H109" i="11"/>
  <c r="H133" i="11" s="1"/>
  <c r="D118" i="11"/>
  <c r="E183" i="11"/>
  <c r="E145" i="11" s="1"/>
  <c r="F106" i="11"/>
  <c r="I38" i="11"/>
  <c r="I39" i="11" s="1"/>
  <c r="D42" i="11" s="1"/>
  <c r="F90" i="11"/>
  <c r="H90" i="11" s="1"/>
  <c r="D245" i="11" s="1"/>
  <c r="H51" i="11"/>
  <c r="F110" i="11" s="1"/>
  <c r="F136" i="11" s="1"/>
  <c r="H52" i="11"/>
  <c r="H58" i="11"/>
  <c r="H59" i="11"/>
  <c r="H60" i="11" s="1"/>
  <c r="J16" i="7"/>
  <c r="J17" i="7"/>
  <c r="F31" i="7" s="1"/>
  <c r="F34" i="7" s="1"/>
  <c r="F25" i="7" s="1"/>
  <c r="F26" i="7" s="1"/>
  <c r="J24" i="7" s="1"/>
  <c r="K25" i="7" s="1"/>
  <c r="C10" i="10" s="1"/>
  <c r="H15" i="10"/>
  <c r="H16" i="10" s="1"/>
  <c r="J16" i="10"/>
  <c r="I16" i="10"/>
  <c r="L16" i="10"/>
  <c r="K16" i="10"/>
  <c r="I237" i="11" l="1"/>
  <c r="H172" i="11"/>
  <c r="H173" i="11" s="1"/>
  <c r="H179" i="11" s="1"/>
  <c r="H212" i="11" s="1"/>
  <c r="I170" i="11"/>
  <c r="I172" i="11" s="1"/>
  <c r="I173" i="11" s="1"/>
  <c r="I179" i="11" s="1"/>
  <c r="I212" i="11" s="1"/>
  <c r="H227" i="11"/>
  <c r="I266" i="11"/>
  <c r="I227" i="11" s="1"/>
  <c r="G238" i="11"/>
  <c r="H265" i="11"/>
  <c r="F191" i="11"/>
  <c r="F193" i="11" s="1"/>
  <c r="E243" i="11"/>
  <c r="E271" i="11" s="1"/>
  <c r="E236" i="11"/>
  <c r="E225" i="11"/>
  <c r="E256" i="11" s="1"/>
  <c r="I142" i="11"/>
  <c r="I143" i="11" s="1"/>
  <c r="I223" i="11"/>
  <c r="E245" i="11"/>
  <c r="F245" i="11" s="1"/>
  <c r="G245" i="11" s="1"/>
  <c r="H245" i="11" s="1"/>
  <c r="I245" i="11" s="1"/>
  <c r="E201" i="11"/>
  <c r="I109" i="11"/>
  <c r="I133" i="11" s="1"/>
  <c r="I107" i="11"/>
  <c r="E124" i="11"/>
  <c r="G106" i="11"/>
  <c r="F111" i="11"/>
  <c r="F137" i="11" s="1"/>
  <c r="G111" i="11"/>
  <c r="G137" i="11" s="1"/>
  <c r="H111" i="11"/>
  <c r="H137" i="11" s="1"/>
  <c r="I111" i="11"/>
  <c r="I137" i="11" s="1"/>
  <c r="E111" i="11"/>
  <c r="E137" i="11" s="1"/>
  <c r="E230" i="11" s="1"/>
  <c r="G110" i="11"/>
  <c r="G136" i="11" s="1"/>
  <c r="H110" i="11"/>
  <c r="H136" i="11" s="1"/>
  <c r="E110" i="11"/>
  <c r="E136" i="11" s="1"/>
  <c r="E232" i="11" s="1"/>
  <c r="F232" i="11" s="1"/>
  <c r="I110" i="11"/>
  <c r="I136" i="11" s="1"/>
  <c r="F105" i="11"/>
  <c r="F108" i="11"/>
  <c r="C58" i="11"/>
  <c r="H53" i="11"/>
  <c r="D44" i="11"/>
  <c r="I44" i="11" s="1"/>
  <c r="D40" i="11"/>
  <c r="G20" i="10"/>
  <c r="G21" i="10" s="1"/>
  <c r="G22" i="10"/>
  <c r="E207" i="11" l="1"/>
  <c r="E215" i="11" s="1"/>
  <c r="E202" i="11"/>
  <c r="F281" i="11"/>
  <c r="F283" i="11" s="1"/>
  <c r="F124" i="11"/>
  <c r="G232" i="11"/>
  <c r="H232" i="11" s="1"/>
  <c r="I232" i="11" s="1"/>
  <c r="F230" i="11"/>
  <c r="G230" i="11" s="1"/>
  <c r="H230" i="11" s="1"/>
  <c r="I230" i="11" s="1"/>
  <c r="H238" i="11"/>
  <c r="I265" i="11"/>
  <c r="I238" i="11" s="1"/>
  <c r="E257" i="11"/>
  <c r="E258" i="11" s="1"/>
  <c r="E139" i="11" s="1"/>
  <c r="E239" i="11"/>
  <c r="E113" i="11"/>
  <c r="G191" i="11"/>
  <c r="G193" i="11" s="1"/>
  <c r="F243" i="11"/>
  <c r="F271" i="11" s="1"/>
  <c r="F236" i="11"/>
  <c r="F225" i="11"/>
  <c r="F256" i="11" s="1"/>
  <c r="E138" i="11"/>
  <c r="G138" i="11"/>
  <c r="H138" i="11"/>
  <c r="F138" i="11"/>
  <c r="I138" i="11"/>
  <c r="F113" i="11"/>
  <c r="F196" i="11"/>
  <c r="F214" i="11" s="1"/>
  <c r="H106" i="11"/>
  <c r="I106" i="11"/>
  <c r="I105" i="11" s="1"/>
  <c r="G108" i="11"/>
  <c r="G281" i="11" s="1"/>
  <c r="G283" i="11" s="1"/>
  <c r="G105" i="11"/>
  <c r="C59" i="11"/>
  <c r="G91" i="11"/>
  <c r="H91" i="11" s="1"/>
  <c r="D41" i="11"/>
  <c r="G23" i="10"/>
  <c r="J20" i="10" s="1"/>
  <c r="J23" i="10" s="1"/>
  <c r="N18" i="10" s="1"/>
  <c r="F199" i="11" l="1"/>
  <c r="F208" i="11" s="1"/>
  <c r="E244" i="11"/>
  <c r="E272" i="11" s="1"/>
  <c r="G94" i="11"/>
  <c r="H94" i="11" s="1"/>
  <c r="D249" i="11" s="1"/>
  <c r="D294" i="11"/>
  <c r="D297" i="11"/>
  <c r="D295" i="11"/>
  <c r="D296" i="11"/>
  <c r="D293" i="11"/>
  <c r="F257" i="11"/>
  <c r="F258" i="11" s="1"/>
  <c r="F139" i="11" s="1"/>
  <c r="F239" i="11"/>
  <c r="H191" i="11"/>
  <c r="H193" i="11" s="1"/>
  <c r="G196" i="11"/>
  <c r="G214" i="11" s="1"/>
  <c r="G243" i="11"/>
  <c r="G271" i="11" s="1"/>
  <c r="F201" i="11"/>
  <c r="F135" i="11"/>
  <c r="I236" i="11"/>
  <c r="I225" i="11"/>
  <c r="I256" i="11" s="1"/>
  <c r="G236" i="11"/>
  <c r="G225" i="11"/>
  <c r="G256" i="11" s="1"/>
  <c r="I108" i="11"/>
  <c r="I281" i="11" s="1"/>
  <c r="I283" i="11" s="1"/>
  <c r="H92" i="11"/>
  <c r="D246" i="11"/>
  <c r="G113" i="11"/>
  <c r="G124" i="11"/>
  <c r="H108" i="11"/>
  <c r="H281" i="11" s="1"/>
  <c r="H283" i="11" s="1"/>
  <c r="H105" i="11"/>
  <c r="F75" i="11"/>
  <c r="H75" i="11" s="1"/>
  <c r="H96" i="11" l="1"/>
  <c r="F202" i="11"/>
  <c r="F207" i="11"/>
  <c r="F215" i="11" s="1"/>
  <c r="I257" i="11"/>
  <c r="I258" i="11" s="1"/>
  <c r="I239" i="11"/>
  <c r="G257" i="11"/>
  <c r="G258" i="11" s="1"/>
  <c r="G139" i="11" s="1"/>
  <c r="G239" i="11"/>
  <c r="I191" i="11"/>
  <c r="I193" i="11" s="1"/>
  <c r="H243" i="11"/>
  <c r="H271" i="11" s="1"/>
  <c r="E246" i="11"/>
  <c r="F246" i="11" s="1"/>
  <c r="G246" i="11" s="1"/>
  <c r="H246" i="11" s="1"/>
  <c r="I246" i="11" s="1"/>
  <c r="D247" i="11"/>
  <c r="D251" i="11" s="1"/>
  <c r="H236" i="11"/>
  <c r="H225" i="11"/>
  <c r="H256" i="11" s="1"/>
  <c r="H196" i="11"/>
  <c r="H214" i="11" s="1"/>
  <c r="H78" i="11"/>
  <c r="D231" i="11"/>
  <c r="H113" i="11"/>
  <c r="H124" i="11"/>
  <c r="I124" i="11"/>
  <c r="I113" i="11"/>
  <c r="H98" i="11" l="1"/>
  <c r="F244" i="11"/>
  <c r="F272" i="11" s="1"/>
  <c r="G199" i="11"/>
  <c r="H257" i="11"/>
  <c r="H258" i="11" s="1"/>
  <c r="H239" i="11"/>
  <c r="D233" i="11"/>
  <c r="D253" i="11" s="1"/>
  <c r="E231" i="11"/>
  <c r="F231" i="11" s="1"/>
  <c r="G231" i="11" s="1"/>
  <c r="H231" i="11" s="1"/>
  <c r="I231" i="11" s="1"/>
  <c r="I196" i="11"/>
  <c r="I214" i="11" s="1"/>
  <c r="I243" i="11"/>
  <c r="I271" i="11" s="1"/>
  <c r="G208" i="11" l="1"/>
  <c r="I139" i="11"/>
  <c r="H139" i="11"/>
  <c r="G135" i="11" l="1"/>
  <c r="G201" i="11"/>
  <c r="G207" i="11" l="1"/>
  <c r="G215" i="11" s="1"/>
  <c r="G202" i="11"/>
  <c r="G244" i="11" l="1"/>
  <c r="G272" i="11" s="1"/>
  <c r="H199" i="11"/>
  <c r="H208" i="11" l="1"/>
  <c r="H135" i="11" l="1"/>
  <c r="H201" i="11"/>
  <c r="H207" i="11" l="1"/>
  <c r="H215" i="11" s="1"/>
  <c r="H202" i="11"/>
  <c r="I199" i="11" l="1"/>
  <c r="H244" i="11"/>
  <c r="H272" i="11" s="1"/>
  <c r="I208" i="11" l="1"/>
  <c r="I135" i="11" l="1"/>
  <c r="I201" i="11"/>
  <c r="I202" i="11" l="1"/>
  <c r="I244" i="11" s="1"/>
  <c r="I272" i="11" s="1"/>
  <c r="I207" i="11"/>
  <c r="I215" i="11" s="1"/>
  <c r="E114" i="11" l="1"/>
  <c r="F114" i="11"/>
  <c r="G114" i="11"/>
  <c r="H114" i="11"/>
  <c r="I114" i="11"/>
  <c r="E116" i="11"/>
  <c r="F116" i="11"/>
  <c r="G116" i="11"/>
  <c r="H116" i="11"/>
  <c r="I116" i="11"/>
  <c r="E117" i="11"/>
  <c r="F117" i="11"/>
  <c r="G117" i="11"/>
  <c r="H117" i="11"/>
  <c r="I117" i="11"/>
  <c r="E118" i="11"/>
  <c r="F118" i="11"/>
  <c r="G118" i="11"/>
  <c r="H118" i="11"/>
  <c r="I118" i="11"/>
  <c r="E132" i="11"/>
  <c r="F132" i="11"/>
  <c r="G132" i="11"/>
  <c r="H132" i="11"/>
  <c r="I132" i="11"/>
  <c r="E140" i="11"/>
  <c r="F140" i="11"/>
  <c r="G140" i="11"/>
  <c r="H140" i="11"/>
  <c r="I140" i="11"/>
  <c r="F145" i="11"/>
  <c r="G145" i="11"/>
  <c r="H145" i="11"/>
  <c r="I145" i="11"/>
  <c r="E146" i="11"/>
  <c r="F146" i="11"/>
  <c r="G146" i="11"/>
  <c r="H146" i="11"/>
  <c r="I146" i="11"/>
  <c r="E148" i="11"/>
  <c r="F148" i="11"/>
  <c r="G148" i="11"/>
  <c r="H148" i="11"/>
  <c r="I148" i="11"/>
  <c r="E149" i="11"/>
  <c r="F149" i="11"/>
  <c r="G149" i="11"/>
  <c r="H149" i="11"/>
  <c r="I149" i="11"/>
  <c r="E150" i="11"/>
  <c r="F150" i="11"/>
  <c r="G150" i="11"/>
  <c r="H150" i="11"/>
  <c r="I150" i="11"/>
  <c r="F152" i="11"/>
  <c r="G152" i="11"/>
  <c r="H152" i="11"/>
  <c r="I152" i="11"/>
  <c r="E153" i="11"/>
  <c r="F153" i="11"/>
  <c r="G153" i="11"/>
  <c r="H153" i="11"/>
  <c r="I153" i="11"/>
  <c r="E154" i="11"/>
  <c r="F154" i="11"/>
  <c r="G154" i="11"/>
  <c r="H154" i="11"/>
  <c r="I154" i="11"/>
  <c r="F182" i="11"/>
  <c r="G182" i="11"/>
  <c r="H182" i="11"/>
  <c r="I182" i="11"/>
  <c r="F183" i="11"/>
  <c r="G183" i="11"/>
  <c r="H183" i="11"/>
  <c r="I183" i="11"/>
  <c r="E184" i="11"/>
  <c r="F184" i="11"/>
  <c r="G184" i="11"/>
  <c r="H184" i="11"/>
  <c r="I184" i="11"/>
  <c r="E185" i="11"/>
  <c r="F185" i="11"/>
  <c r="G185" i="11"/>
  <c r="H185" i="11"/>
  <c r="I185" i="11"/>
  <c r="E188" i="11"/>
  <c r="F188" i="11"/>
  <c r="G188" i="11"/>
  <c r="H188" i="11"/>
  <c r="I188" i="11"/>
  <c r="E213" i="11"/>
  <c r="F213" i="11"/>
  <c r="G213" i="11"/>
  <c r="H213" i="11"/>
  <c r="I213" i="11"/>
  <c r="E216" i="11"/>
  <c r="F216" i="11"/>
  <c r="G216" i="11"/>
  <c r="H216" i="11"/>
  <c r="I216" i="11"/>
  <c r="E222" i="11"/>
  <c r="F222" i="11"/>
  <c r="G222" i="11"/>
  <c r="H222" i="11"/>
  <c r="I222" i="11"/>
  <c r="E228" i="11"/>
  <c r="F228" i="11"/>
  <c r="G228" i="11"/>
  <c r="H228" i="11"/>
  <c r="I228" i="11"/>
  <c r="E233" i="11"/>
  <c r="F233" i="11"/>
  <c r="G233" i="11"/>
  <c r="H233" i="11"/>
  <c r="I233" i="11"/>
  <c r="E242" i="11"/>
  <c r="F242" i="11"/>
  <c r="G242" i="11"/>
  <c r="H242" i="11"/>
  <c r="I242" i="11"/>
  <c r="E247" i="11"/>
  <c r="F247" i="11"/>
  <c r="G247" i="11"/>
  <c r="H247" i="11"/>
  <c r="I247" i="11"/>
  <c r="E249" i="11"/>
  <c r="F249" i="11"/>
  <c r="G249" i="11"/>
  <c r="H249" i="11"/>
  <c r="I249" i="11"/>
  <c r="E251" i="11"/>
  <c r="F251" i="11"/>
  <c r="G251" i="11"/>
  <c r="H251" i="11"/>
  <c r="I251" i="11"/>
  <c r="E253" i="11"/>
  <c r="F253" i="11"/>
  <c r="G253" i="11"/>
  <c r="H253" i="11"/>
  <c r="I253" i="11"/>
  <c r="E270" i="11"/>
  <c r="F270" i="11"/>
  <c r="G270" i="11"/>
  <c r="H270" i="11"/>
  <c r="I270" i="11"/>
  <c r="E273" i="11"/>
  <c r="F273" i="11"/>
  <c r="G273" i="11"/>
  <c r="H273" i="11"/>
  <c r="I273" i="11"/>
  <c r="E274" i="11"/>
  <c r="F274" i="11"/>
  <c r="G274" i="11"/>
  <c r="H274" i="11"/>
  <c r="I274" i="11"/>
  <c r="E275" i="11"/>
  <c r="F275" i="11"/>
  <c r="G275" i="11"/>
  <c r="H275" i="11"/>
  <c r="I275" i="11"/>
  <c r="E284" i="11"/>
  <c r="F284" i="11"/>
  <c r="G284" i="11"/>
  <c r="H284" i="11"/>
  <c r="I284" i="11"/>
  <c r="E285" i="11"/>
  <c r="F285" i="11"/>
  <c r="G285" i="11"/>
  <c r="H285" i="11"/>
  <c r="I285" i="11"/>
  <c r="E287" i="11"/>
  <c r="F287" i="11"/>
  <c r="G287" i="11"/>
  <c r="H287" i="11"/>
  <c r="I287" i="11"/>
  <c r="E289" i="11"/>
  <c r="F289" i="11"/>
  <c r="G289" i="11"/>
  <c r="H289" i="11"/>
  <c r="I289" i="11"/>
  <c r="E293" i="11"/>
  <c r="F294" i="11"/>
  <c r="G295" i="11"/>
  <c r="H296" i="11"/>
  <c r="I297" i="11"/>
  <c r="E299" i="11"/>
  <c r="F299" i="11"/>
  <c r="G299" i="11"/>
  <c r="H299" i="11"/>
  <c r="I299" i="11"/>
  <c r="E300" i="11"/>
  <c r="F300" i="11"/>
  <c r="G300" i="11"/>
  <c r="H300" i="11"/>
  <c r="I300" i="11"/>
  <c r="C307" i="11"/>
  <c r="C319" i="1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942">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bk>
      <extLst>
        <ext uri="{3e2802c4-a4d2-4d8b-9148-e3be6c30e623}">
          <xlrd:rvb i="100"/>
        </ext>
      </extLst>
    </bk>
    <bk>
      <extLst>
        <ext uri="{3e2802c4-a4d2-4d8b-9148-e3be6c30e623}">
          <xlrd:rvb i="101"/>
        </ext>
      </extLst>
    </bk>
    <bk>
      <extLst>
        <ext uri="{3e2802c4-a4d2-4d8b-9148-e3be6c30e623}">
          <xlrd:rvb i="102"/>
        </ext>
      </extLst>
    </bk>
    <bk>
      <extLst>
        <ext uri="{3e2802c4-a4d2-4d8b-9148-e3be6c30e623}">
          <xlrd:rvb i="103"/>
        </ext>
      </extLst>
    </bk>
    <bk>
      <extLst>
        <ext uri="{3e2802c4-a4d2-4d8b-9148-e3be6c30e623}">
          <xlrd:rvb i="104"/>
        </ext>
      </extLst>
    </bk>
    <bk>
      <extLst>
        <ext uri="{3e2802c4-a4d2-4d8b-9148-e3be6c30e623}">
          <xlrd:rvb i="105"/>
        </ext>
      </extLst>
    </bk>
    <bk>
      <extLst>
        <ext uri="{3e2802c4-a4d2-4d8b-9148-e3be6c30e623}">
          <xlrd:rvb i="106"/>
        </ext>
      </extLst>
    </bk>
    <bk>
      <extLst>
        <ext uri="{3e2802c4-a4d2-4d8b-9148-e3be6c30e623}">
          <xlrd:rvb i="107"/>
        </ext>
      </extLst>
    </bk>
    <bk>
      <extLst>
        <ext uri="{3e2802c4-a4d2-4d8b-9148-e3be6c30e623}">
          <xlrd:rvb i="108"/>
        </ext>
      </extLst>
    </bk>
    <bk>
      <extLst>
        <ext uri="{3e2802c4-a4d2-4d8b-9148-e3be6c30e623}">
          <xlrd:rvb i="109"/>
        </ext>
      </extLst>
    </bk>
    <bk>
      <extLst>
        <ext uri="{3e2802c4-a4d2-4d8b-9148-e3be6c30e623}">
          <xlrd:rvb i="110"/>
        </ext>
      </extLst>
    </bk>
    <bk>
      <extLst>
        <ext uri="{3e2802c4-a4d2-4d8b-9148-e3be6c30e623}">
          <xlrd:rvb i="111"/>
        </ext>
      </extLst>
    </bk>
    <bk>
      <extLst>
        <ext uri="{3e2802c4-a4d2-4d8b-9148-e3be6c30e623}">
          <xlrd:rvb i="112"/>
        </ext>
      </extLst>
    </bk>
    <bk>
      <extLst>
        <ext uri="{3e2802c4-a4d2-4d8b-9148-e3be6c30e623}">
          <xlrd:rvb i="113"/>
        </ext>
      </extLst>
    </bk>
    <bk>
      <extLst>
        <ext uri="{3e2802c4-a4d2-4d8b-9148-e3be6c30e623}">
          <xlrd:rvb i="114"/>
        </ext>
      </extLst>
    </bk>
    <bk>
      <extLst>
        <ext uri="{3e2802c4-a4d2-4d8b-9148-e3be6c30e623}">
          <xlrd:rvb i="115"/>
        </ext>
      </extLst>
    </bk>
    <bk>
      <extLst>
        <ext uri="{3e2802c4-a4d2-4d8b-9148-e3be6c30e623}">
          <xlrd:rvb i="116"/>
        </ext>
      </extLst>
    </bk>
    <bk>
      <extLst>
        <ext uri="{3e2802c4-a4d2-4d8b-9148-e3be6c30e623}">
          <xlrd:rvb i="117"/>
        </ext>
      </extLst>
    </bk>
    <bk>
      <extLst>
        <ext uri="{3e2802c4-a4d2-4d8b-9148-e3be6c30e623}">
          <xlrd:rvb i="118"/>
        </ext>
      </extLst>
    </bk>
    <bk>
      <extLst>
        <ext uri="{3e2802c4-a4d2-4d8b-9148-e3be6c30e623}">
          <xlrd:rvb i="119"/>
        </ext>
      </extLst>
    </bk>
    <bk>
      <extLst>
        <ext uri="{3e2802c4-a4d2-4d8b-9148-e3be6c30e623}">
          <xlrd:rvb i="120"/>
        </ext>
      </extLst>
    </bk>
    <bk>
      <extLst>
        <ext uri="{3e2802c4-a4d2-4d8b-9148-e3be6c30e623}">
          <xlrd:rvb i="121"/>
        </ext>
      </extLst>
    </bk>
    <bk>
      <extLst>
        <ext uri="{3e2802c4-a4d2-4d8b-9148-e3be6c30e623}">
          <xlrd:rvb i="122"/>
        </ext>
      </extLst>
    </bk>
    <bk>
      <extLst>
        <ext uri="{3e2802c4-a4d2-4d8b-9148-e3be6c30e623}">
          <xlrd:rvb i="123"/>
        </ext>
      </extLst>
    </bk>
    <bk>
      <extLst>
        <ext uri="{3e2802c4-a4d2-4d8b-9148-e3be6c30e623}">
          <xlrd:rvb i="124"/>
        </ext>
      </extLst>
    </bk>
    <bk>
      <extLst>
        <ext uri="{3e2802c4-a4d2-4d8b-9148-e3be6c30e623}">
          <xlrd:rvb i="125"/>
        </ext>
      </extLst>
    </bk>
    <bk>
      <extLst>
        <ext uri="{3e2802c4-a4d2-4d8b-9148-e3be6c30e623}">
          <xlrd:rvb i="126"/>
        </ext>
      </extLst>
    </bk>
    <bk>
      <extLst>
        <ext uri="{3e2802c4-a4d2-4d8b-9148-e3be6c30e623}">
          <xlrd:rvb i="127"/>
        </ext>
      </extLst>
    </bk>
    <bk>
      <extLst>
        <ext uri="{3e2802c4-a4d2-4d8b-9148-e3be6c30e623}">
          <xlrd:rvb i="128"/>
        </ext>
      </extLst>
    </bk>
    <bk>
      <extLst>
        <ext uri="{3e2802c4-a4d2-4d8b-9148-e3be6c30e623}">
          <xlrd:rvb i="129"/>
        </ext>
      </extLst>
    </bk>
    <bk>
      <extLst>
        <ext uri="{3e2802c4-a4d2-4d8b-9148-e3be6c30e623}">
          <xlrd:rvb i="130"/>
        </ext>
      </extLst>
    </bk>
    <bk>
      <extLst>
        <ext uri="{3e2802c4-a4d2-4d8b-9148-e3be6c30e623}">
          <xlrd:rvb i="131"/>
        </ext>
      </extLst>
    </bk>
    <bk>
      <extLst>
        <ext uri="{3e2802c4-a4d2-4d8b-9148-e3be6c30e623}">
          <xlrd:rvb i="132"/>
        </ext>
      </extLst>
    </bk>
    <bk>
      <extLst>
        <ext uri="{3e2802c4-a4d2-4d8b-9148-e3be6c30e623}">
          <xlrd:rvb i="133"/>
        </ext>
      </extLst>
    </bk>
    <bk>
      <extLst>
        <ext uri="{3e2802c4-a4d2-4d8b-9148-e3be6c30e623}">
          <xlrd:rvb i="134"/>
        </ext>
      </extLst>
    </bk>
    <bk>
      <extLst>
        <ext uri="{3e2802c4-a4d2-4d8b-9148-e3be6c30e623}">
          <xlrd:rvb i="135"/>
        </ext>
      </extLst>
    </bk>
    <bk>
      <extLst>
        <ext uri="{3e2802c4-a4d2-4d8b-9148-e3be6c30e623}">
          <xlrd:rvb i="136"/>
        </ext>
      </extLst>
    </bk>
    <bk>
      <extLst>
        <ext uri="{3e2802c4-a4d2-4d8b-9148-e3be6c30e623}">
          <xlrd:rvb i="137"/>
        </ext>
      </extLst>
    </bk>
    <bk>
      <extLst>
        <ext uri="{3e2802c4-a4d2-4d8b-9148-e3be6c30e623}">
          <xlrd:rvb i="138"/>
        </ext>
      </extLst>
    </bk>
    <bk>
      <extLst>
        <ext uri="{3e2802c4-a4d2-4d8b-9148-e3be6c30e623}">
          <xlrd:rvb i="139"/>
        </ext>
      </extLst>
    </bk>
    <bk>
      <extLst>
        <ext uri="{3e2802c4-a4d2-4d8b-9148-e3be6c30e623}">
          <xlrd:rvb i="140"/>
        </ext>
      </extLst>
    </bk>
    <bk>
      <extLst>
        <ext uri="{3e2802c4-a4d2-4d8b-9148-e3be6c30e623}">
          <xlrd:rvb i="141"/>
        </ext>
      </extLst>
    </bk>
    <bk>
      <extLst>
        <ext uri="{3e2802c4-a4d2-4d8b-9148-e3be6c30e623}">
          <xlrd:rvb i="142"/>
        </ext>
      </extLst>
    </bk>
    <bk>
      <extLst>
        <ext uri="{3e2802c4-a4d2-4d8b-9148-e3be6c30e623}">
          <xlrd:rvb i="143"/>
        </ext>
      </extLst>
    </bk>
    <bk>
      <extLst>
        <ext uri="{3e2802c4-a4d2-4d8b-9148-e3be6c30e623}">
          <xlrd:rvb i="144"/>
        </ext>
      </extLst>
    </bk>
    <bk>
      <extLst>
        <ext uri="{3e2802c4-a4d2-4d8b-9148-e3be6c30e623}">
          <xlrd:rvb i="145"/>
        </ext>
      </extLst>
    </bk>
    <bk>
      <extLst>
        <ext uri="{3e2802c4-a4d2-4d8b-9148-e3be6c30e623}">
          <xlrd:rvb i="146"/>
        </ext>
      </extLst>
    </bk>
    <bk>
      <extLst>
        <ext uri="{3e2802c4-a4d2-4d8b-9148-e3be6c30e623}">
          <xlrd:rvb i="147"/>
        </ext>
      </extLst>
    </bk>
    <bk>
      <extLst>
        <ext uri="{3e2802c4-a4d2-4d8b-9148-e3be6c30e623}">
          <xlrd:rvb i="148"/>
        </ext>
      </extLst>
    </bk>
    <bk>
      <extLst>
        <ext uri="{3e2802c4-a4d2-4d8b-9148-e3be6c30e623}">
          <xlrd:rvb i="149"/>
        </ext>
      </extLst>
    </bk>
    <bk>
      <extLst>
        <ext uri="{3e2802c4-a4d2-4d8b-9148-e3be6c30e623}">
          <xlrd:rvb i="150"/>
        </ext>
      </extLst>
    </bk>
    <bk>
      <extLst>
        <ext uri="{3e2802c4-a4d2-4d8b-9148-e3be6c30e623}">
          <xlrd:rvb i="151"/>
        </ext>
      </extLst>
    </bk>
    <bk>
      <extLst>
        <ext uri="{3e2802c4-a4d2-4d8b-9148-e3be6c30e623}">
          <xlrd:rvb i="152"/>
        </ext>
      </extLst>
    </bk>
    <bk>
      <extLst>
        <ext uri="{3e2802c4-a4d2-4d8b-9148-e3be6c30e623}">
          <xlrd:rvb i="153"/>
        </ext>
      </extLst>
    </bk>
    <bk>
      <extLst>
        <ext uri="{3e2802c4-a4d2-4d8b-9148-e3be6c30e623}">
          <xlrd:rvb i="154"/>
        </ext>
      </extLst>
    </bk>
    <bk>
      <extLst>
        <ext uri="{3e2802c4-a4d2-4d8b-9148-e3be6c30e623}">
          <xlrd:rvb i="155"/>
        </ext>
      </extLst>
    </bk>
    <bk>
      <extLst>
        <ext uri="{3e2802c4-a4d2-4d8b-9148-e3be6c30e623}">
          <xlrd:rvb i="156"/>
        </ext>
      </extLst>
    </bk>
    <bk>
      <extLst>
        <ext uri="{3e2802c4-a4d2-4d8b-9148-e3be6c30e623}">
          <xlrd:rvb i="157"/>
        </ext>
      </extLst>
    </bk>
    <bk>
      <extLst>
        <ext uri="{3e2802c4-a4d2-4d8b-9148-e3be6c30e623}">
          <xlrd:rvb i="158"/>
        </ext>
      </extLst>
    </bk>
    <bk>
      <extLst>
        <ext uri="{3e2802c4-a4d2-4d8b-9148-e3be6c30e623}">
          <xlrd:rvb i="159"/>
        </ext>
      </extLst>
    </bk>
    <bk>
      <extLst>
        <ext uri="{3e2802c4-a4d2-4d8b-9148-e3be6c30e623}">
          <xlrd:rvb i="160"/>
        </ext>
      </extLst>
    </bk>
    <bk>
      <extLst>
        <ext uri="{3e2802c4-a4d2-4d8b-9148-e3be6c30e623}">
          <xlrd:rvb i="161"/>
        </ext>
      </extLst>
    </bk>
    <bk>
      <extLst>
        <ext uri="{3e2802c4-a4d2-4d8b-9148-e3be6c30e623}">
          <xlrd:rvb i="162"/>
        </ext>
      </extLst>
    </bk>
    <bk>
      <extLst>
        <ext uri="{3e2802c4-a4d2-4d8b-9148-e3be6c30e623}">
          <xlrd:rvb i="163"/>
        </ext>
      </extLst>
    </bk>
    <bk>
      <extLst>
        <ext uri="{3e2802c4-a4d2-4d8b-9148-e3be6c30e623}">
          <xlrd:rvb i="164"/>
        </ext>
      </extLst>
    </bk>
    <bk>
      <extLst>
        <ext uri="{3e2802c4-a4d2-4d8b-9148-e3be6c30e623}">
          <xlrd:rvb i="165"/>
        </ext>
      </extLst>
    </bk>
    <bk>
      <extLst>
        <ext uri="{3e2802c4-a4d2-4d8b-9148-e3be6c30e623}">
          <xlrd:rvb i="166"/>
        </ext>
      </extLst>
    </bk>
    <bk>
      <extLst>
        <ext uri="{3e2802c4-a4d2-4d8b-9148-e3be6c30e623}">
          <xlrd:rvb i="167"/>
        </ext>
      </extLst>
    </bk>
    <bk>
      <extLst>
        <ext uri="{3e2802c4-a4d2-4d8b-9148-e3be6c30e623}">
          <xlrd:rvb i="168"/>
        </ext>
      </extLst>
    </bk>
    <bk>
      <extLst>
        <ext uri="{3e2802c4-a4d2-4d8b-9148-e3be6c30e623}">
          <xlrd:rvb i="169"/>
        </ext>
      </extLst>
    </bk>
    <bk>
      <extLst>
        <ext uri="{3e2802c4-a4d2-4d8b-9148-e3be6c30e623}">
          <xlrd:rvb i="170"/>
        </ext>
      </extLst>
    </bk>
    <bk>
      <extLst>
        <ext uri="{3e2802c4-a4d2-4d8b-9148-e3be6c30e623}">
          <xlrd:rvb i="171"/>
        </ext>
      </extLst>
    </bk>
    <bk>
      <extLst>
        <ext uri="{3e2802c4-a4d2-4d8b-9148-e3be6c30e623}">
          <xlrd:rvb i="172"/>
        </ext>
      </extLst>
    </bk>
    <bk>
      <extLst>
        <ext uri="{3e2802c4-a4d2-4d8b-9148-e3be6c30e623}">
          <xlrd:rvb i="173"/>
        </ext>
      </extLst>
    </bk>
    <bk>
      <extLst>
        <ext uri="{3e2802c4-a4d2-4d8b-9148-e3be6c30e623}">
          <xlrd:rvb i="174"/>
        </ext>
      </extLst>
    </bk>
    <bk>
      <extLst>
        <ext uri="{3e2802c4-a4d2-4d8b-9148-e3be6c30e623}">
          <xlrd:rvb i="175"/>
        </ext>
      </extLst>
    </bk>
    <bk>
      <extLst>
        <ext uri="{3e2802c4-a4d2-4d8b-9148-e3be6c30e623}">
          <xlrd:rvb i="176"/>
        </ext>
      </extLst>
    </bk>
    <bk>
      <extLst>
        <ext uri="{3e2802c4-a4d2-4d8b-9148-e3be6c30e623}">
          <xlrd:rvb i="177"/>
        </ext>
      </extLst>
    </bk>
    <bk>
      <extLst>
        <ext uri="{3e2802c4-a4d2-4d8b-9148-e3be6c30e623}">
          <xlrd:rvb i="178"/>
        </ext>
      </extLst>
    </bk>
    <bk>
      <extLst>
        <ext uri="{3e2802c4-a4d2-4d8b-9148-e3be6c30e623}">
          <xlrd:rvb i="179"/>
        </ext>
      </extLst>
    </bk>
    <bk>
      <extLst>
        <ext uri="{3e2802c4-a4d2-4d8b-9148-e3be6c30e623}">
          <xlrd:rvb i="180"/>
        </ext>
      </extLst>
    </bk>
    <bk>
      <extLst>
        <ext uri="{3e2802c4-a4d2-4d8b-9148-e3be6c30e623}">
          <xlrd:rvb i="181"/>
        </ext>
      </extLst>
    </bk>
    <bk>
      <extLst>
        <ext uri="{3e2802c4-a4d2-4d8b-9148-e3be6c30e623}">
          <xlrd:rvb i="182"/>
        </ext>
      </extLst>
    </bk>
    <bk>
      <extLst>
        <ext uri="{3e2802c4-a4d2-4d8b-9148-e3be6c30e623}">
          <xlrd:rvb i="183"/>
        </ext>
      </extLst>
    </bk>
    <bk>
      <extLst>
        <ext uri="{3e2802c4-a4d2-4d8b-9148-e3be6c30e623}">
          <xlrd:rvb i="184"/>
        </ext>
      </extLst>
    </bk>
    <bk>
      <extLst>
        <ext uri="{3e2802c4-a4d2-4d8b-9148-e3be6c30e623}">
          <xlrd:rvb i="185"/>
        </ext>
      </extLst>
    </bk>
    <bk>
      <extLst>
        <ext uri="{3e2802c4-a4d2-4d8b-9148-e3be6c30e623}">
          <xlrd:rvb i="186"/>
        </ext>
      </extLst>
    </bk>
    <bk>
      <extLst>
        <ext uri="{3e2802c4-a4d2-4d8b-9148-e3be6c30e623}">
          <xlrd:rvb i="187"/>
        </ext>
      </extLst>
    </bk>
    <bk>
      <extLst>
        <ext uri="{3e2802c4-a4d2-4d8b-9148-e3be6c30e623}">
          <xlrd:rvb i="188"/>
        </ext>
      </extLst>
    </bk>
    <bk>
      <extLst>
        <ext uri="{3e2802c4-a4d2-4d8b-9148-e3be6c30e623}">
          <xlrd:rvb i="189"/>
        </ext>
      </extLst>
    </bk>
    <bk>
      <extLst>
        <ext uri="{3e2802c4-a4d2-4d8b-9148-e3be6c30e623}">
          <xlrd:rvb i="190"/>
        </ext>
      </extLst>
    </bk>
    <bk>
      <extLst>
        <ext uri="{3e2802c4-a4d2-4d8b-9148-e3be6c30e623}">
          <xlrd:rvb i="191"/>
        </ext>
      </extLst>
    </bk>
    <bk>
      <extLst>
        <ext uri="{3e2802c4-a4d2-4d8b-9148-e3be6c30e623}">
          <xlrd:rvb i="192"/>
        </ext>
      </extLst>
    </bk>
    <bk>
      <extLst>
        <ext uri="{3e2802c4-a4d2-4d8b-9148-e3be6c30e623}">
          <xlrd:rvb i="193"/>
        </ext>
      </extLst>
    </bk>
    <bk>
      <extLst>
        <ext uri="{3e2802c4-a4d2-4d8b-9148-e3be6c30e623}">
          <xlrd:rvb i="194"/>
        </ext>
      </extLst>
    </bk>
    <bk>
      <extLst>
        <ext uri="{3e2802c4-a4d2-4d8b-9148-e3be6c30e623}">
          <xlrd:rvb i="195"/>
        </ext>
      </extLst>
    </bk>
    <bk>
      <extLst>
        <ext uri="{3e2802c4-a4d2-4d8b-9148-e3be6c30e623}">
          <xlrd:rvb i="196"/>
        </ext>
      </extLst>
    </bk>
    <bk>
      <extLst>
        <ext uri="{3e2802c4-a4d2-4d8b-9148-e3be6c30e623}">
          <xlrd:rvb i="197"/>
        </ext>
      </extLst>
    </bk>
    <bk>
      <extLst>
        <ext uri="{3e2802c4-a4d2-4d8b-9148-e3be6c30e623}">
          <xlrd:rvb i="198"/>
        </ext>
      </extLst>
    </bk>
    <bk>
      <extLst>
        <ext uri="{3e2802c4-a4d2-4d8b-9148-e3be6c30e623}">
          <xlrd:rvb i="199"/>
        </ext>
      </extLst>
    </bk>
    <bk>
      <extLst>
        <ext uri="{3e2802c4-a4d2-4d8b-9148-e3be6c30e623}">
          <xlrd:rvb i="200"/>
        </ext>
      </extLst>
    </bk>
    <bk>
      <extLst>
        <ext uri="{3e2802c4-a4d2-4d8b-9148-e3be6c30e623}">
          <xlrd:rvb i="201"/>
        </ext>
      </extLst>
    </bk>
    <bk>
      <extLst>
        <ext uri="{3e2802c4-a4d2-4d8b-9148-e3be6c30e623}">
          <xlrd:rvb i="202"/>
        </ext>
      </extLst>
    </bk>
    <bk>
      <extLst>
        <ext uri="{3e2802c4-a4d2-4d8b-9148-e3be6c30e623}">
          <xlrd:rvb i="203"/>
        </ext>
      </extLst>
    </bk>
    <bk>
      <extLst>
        <ext uri="{3e2802c4-a4d2-4d8b-9148-e3be6c30e623}">
          <xlrd:rvb i="204"/>
        </ext>
      </extLst>
    </bk>
    <bk>
      <extLst>
        <ext uri="{3e2802c4-a4d2-4d8b-9148-e3be6c30e623}">
          <xlrd:rvb i="205"/>
        </ext>
      </extLst>
    </bk>
    <bk>
      <extLst>
        <ext uri="{3e2802c4-a4d2-4d8b-9148-e3be6c30e623}">
          <xlrd:rvb i="206"/>
        </ext>
      </extLst>
    </bk>
    <bk>
      <extLst>
        <ext uri="{3e2802c4-a4d2-4d8b-9148-e3be6c30e623}">
          <xlrd:rvb i="207"/>
        </ext>
      </extLst>
    </bk>
    <bk>
      <extLst>
        <ext uri="{3e2802c4-a4d2-4d8b-9148-e3be6c30e623}">
          <xlrd:rvb i="208"/>
        </ext>
      </extLst>
    </bk>
    <bk>
      <extLst>
        <ext uri="{3e2802c4-a4d2-4d8b-9148-e3be6c30e623}">
          <xlrd:rvb i="209"/>
        </ext>
      </extLst>
    </bk>
    <bk>
      <extLst>
        <ext uri="{3e2802c4-a4d2-4d8b-9148-e3be6c30e623}">
          <xlrd:rvb i="210"/>
        </ext>
      </extLst>
    </bk>
    <bk>
      <extLst>
        <ext uri="{3e2802c4-a4d2-4d8b-9148-e3be6c30e623}">
          <xlrd:rvb i="211"/>
        </ext>
      </extLst>
    </bk>
    <bk>
      <extLst>
        <ext uri="{3e2802c4-a4d2-4d8b-9148-e3be6c30e623}">
          <xlrd:rvb i="212"/>
        </ext>
      </extLst>
    </bk>
    <bk>
      <extLst>
        <ext uri="{3e2802c4-a4d2-4d8b-9148-e3be6c30e623}">
          <xlrd:rvb i="213"/>
        </ext>
      </extLst>
    </bk>
    <bk>
      <extLst>
        <ext uri="{3e2802c4-a4d2-4d8b-9148-e3be6c30e623}">
          <xlrd:rvb i="214"/>
        </ext>
      </extLst>
    </bk>
    <bk>
      <extLst>
        <ext uri="{3e2802c4-a4d2-4d8b-9148-e3be6c30e623}">
          <xlrd:rvb i="215"/>
        </ext>
      </extLst>
    </bk>
    <bk>
      <extLst>
        <ext uri="{3e2802c4-a4d2-4d8b-9148-e3be6c30e623}">
          <xlrd:rvb i="216"/>
        </ext>
      </extLst>
    </bk>
    <bk>
      <extLst>
        <ext uri="{3e2802c4-a4d2-4d8b-9148-e3be6c30e623}">
          <xlrd:rvb i="217"/>
        </ext>
      </extLst>
    </bk>
    <bk>
      <extLst>
        <ext uri="{3e2802c4-a4d2-4d8b-9148-e3be6c30e623}">
          <xlrd:rvb i="218"/>
        </ext>
      </extLst>
    </bk>
    <bk>
      <extLst>
        <ext uri="{3e2802c4-a4d2-4d8b-9148-e3be6c30e623}">
          <xlrd:rvb i="219"/>
        </ext>
      </extLst>
    </bk>
    <bk>
      <extLst>
        <ext uri="{3e2802c4-a4d2-4d8b-9148-e3be6c30e623}">
          <xlrd:rvb i="220"/>
        </ext>
      </extLst>
    </bk>
    <bk>
      <extLst>
        <ext uri="{3e2802c4-a4d2-4d8b-9148-e3be6c30e623}">
          <xlrd:rvb i="221"/>
        </ext>
      </extLst>
    </bk>
    <bk>
      <extLst>
        <ext uri="{3e2802c4-a4d2-4d8b-9148-e3be6c30e623}">
          <xlrd:rvb i="222"/>
        </ext>
      </extLst>
    </bk>
    <bk>
      <extLst>
        <ext uri="{3e2802c4-a4d2-4d8b-9148-e3be6c30e623}">
          <xlrd:rvb i="223"/>
        </ext>
      </extLst>
    </bk>
    <bk>
      <extLst>
        <ext uri="{3e2802c4-a4d2-4d8b-9148-e3be6c30e623}">
          <xlrd:rvb i="224"/>
        </ext>
      </extLst>
    </bk>
    <bk>
      <extLst>
        <ext uri="{3e2802c4-a4d2-4d8b-9148-e3be6c30e623}">
          <xlrd:rvb i="225"/>
        </ext>
      </extLst>
    </bk>
    <bk>
      <extLst>
        <ext uri="{3e2802c4-a4d2-4d8b-9148-e3be6c30e623}">
          <xlrd:rvb i="226"/>
        </ext>
      </extLst>
    </bk>
    <bk>
      <extLst>
        <ext uri="{3e2802c4-a4d2-4d8b-9148-e3be6c30e623}">
          <xlrd:rvb i="227"/>
        </ext>
      </extLst>
    </bk>
    <bk>
      <extLst>
        <ext uri="{3e2802c4-a4d2-4d8b-9148-e3be6c30e623}">
          <xlrd:rvb i="228"/>
        </ext>
      </extLst>
    </bk>
    <bk>
      <extLst>
        <ext uri="{3e2802c4-a4d2-4d8b-9148-e3be6c30e623}">
          <xlrd:rvb i="229"/>
        </ext>
      </extLst>
    </bk>
    <bk>
      <extLst>
        <ext uri="{3e2802c4-a4d2-4d8b-9148-e3be6c30e623}">
          <xlrd:rvb i="230"/>
        </ext>
      </extLst>
    </bk>
    <bk>
      <extLst>
        <ext uri="{3e2802c4-a4d2-4d8b-9148-e3be6c30e623}">
          <xlrd:rvb i="231"/>
        </ext>
      </extLst>
    </bk>
    <bk>
      <extLst>
        <ext uri="{3e2802c4-a4d2-4d8b-9148-e3be6c30e623}">
          <xlrd:rvb i="232"/>
        </ext>
      </extLst>
    </bk>
    <bk>
      <extLst>
        <ext uri="{3e2802c4-a4d2-4d8b-9148-e3be6c30e623}">
          <xlrd:rvb i="233"/>
        </ext>
      </extLst>
    </bk>
    <bk>
      <extLst>
        <ext uri="{3e2802c4-a4d2-4d8b-9148-e3be6c30e623}">
          <xlrd:rvb i="234"/>
        </ext>
      </extLst>
    </bk>
    <bk>
      <extLst>
        <ext uri="{3e2802c4-a4d2-4d8b-9148-e3be6c30e623}">
          <xlrd:rvb i="235"/>
        </ext>
      </extLst>
    </bk>
    <bk>
      <extLst>
        <ext uri="{3e2802c4-a4d2-4d8b-9148-e3be6c30e623}">
          <xlrd:rvb i="236"/>
        </ext>
      </extLst>
    </bk>
    <bk>
      <extLst>
        <ext uri="{3e2802c4-a4d2-4d8b-9148-e3be6c30e623}">
          <xlrd:rvb i="237"/>
        </ext>
      </extLst>
    </bk>
    <bk>
      <extLst>
        <ext uri="{3e2802c4-a4d2-4d8b-9148-e3be6c30e623}">
          <xlrd:rvb i="238"/>
        </ext>
      </extLst>
    </bk>
    <bk>
      <extLst>
        <ext uri="{3e2802c4-a4d2-4d8b-9148-e3be6c30e623}">
          <xlrd:rvb i="239"/>
        </ext>
      </extLst>
    </bk>
    <bk>
      <extLst>
        <ext uri="{3e2802c4-a4d2-4d8b-9148-e3be6c30e623}">
          <xlrd:rvb i="240"/>
        </ext>
      </extLst>
    </bk>
    <bk>
      <extLst>
        <ext uri="{3e2802c4-a4d2-4d8b-9148-e3be6c30e623}">
          <xlrd:rvb i="241"/>
        </ext>
      </extLst>
    </bk>
    <bk>
      <extLst>
        <ext uri="{3e2802c4-a4d2-4d8b-9148-e3be6c30e623}">
          <xlrd:rvb i="242"/>
        </ext>
      </extLst>
    </bk>
    <bk>
      <extLst>
        <ext uri="{3e2802c4-a4d2-4d8b-9148-e3be6c30e623}">
          <xlrd:rvb i="243"/>
        </ext>
      </extLst>
    </bk>
    <bk>
      <extLst>
        <ext uri="{3e2802c4-a4d2-4d8b-9148-e3be6c30e623}">
          <xlrd:rvb i="244"/>
        </ext>
      </extLst>
    </bk>
    <bk>
      <extLst>
        <ext uri="{3e2802c4-a4d2-4d8b-9148-e3be6c30e623}">
          <xlrd:rvb i="245"/>
        </ext>
      </extLst>
    </bk>
    <bk>
      <extLst>
        <ext uri="{3e2802c4-a4d2-4d8b-9148-e3be6c30e623}">
          <xlrd:rvb i="246"/>
        </ext>
      </extLst>
    </bk>
    <bk>
      <extLst>
        <ext uri="{3e2802c4-a4d2-4d8b-9148-e3be6c30e623}">
          <xlrd:rvb i="247"/>
        </ext>
      </extLst>
    </bk>
    <bk>
      <extLst>
        <ext uri="{3e2802c4-a4d2-4d8b-9148-e3be6c30e623}">
          <xlrd:rvb i="248"/>
        </ext>
      </extLst>
    </bk>
    <bk>
      <extLst>
        <ext uri="{3e2802c4-a4d2-4d8b-9148-e3be6c30e623}">
          <xlrd:rvb i="249"/>
        </ext>
      </extLst>
    </bk>
    <bk>
      <extLst>
        <ext uri="{3e2802c4-a4d2-4d8b-9148-e3be6c30e623}">
          <xlrd:rvb i="250"/>
        </ext>
      </extLst>
    </bk>
    <bk>
      <extLst>
        <ext uri="{3e2802c4-a4d2-4d8b-9148-e3be6c30e623}">
          <xlrd:rvb i="251"/>
        </ext>
      </extLst>
    </bk>
    <bk>
      <extLst>
        <ext uri="{3e2802c4-a4d2-4d8b-9148-e3be6c30e623}">
          <xlrd:rvb i="252"/>
        </ext>
      </extLst>
    </bk>
    <bk>
      <extLst>
        <ext uri="{3e2802c4-a4d2-4d8b-9148-e3be6c30e623}">
          <xlrd:rvb i="253"/>
        </ext>
      </extLst>
    </bk>
    <bk>
      <extLst>
        <ext uri="{3e2802c4-a4d2-4d8b-9148-e3be6c30e623}">
          <xlrd:rvb i="254"/>
        </ext>
      </extLst>
    </bk>
    <bk>
      <extLst>
        <ext uri="{3e2802c4-a4d2-4d8b-9148-e3be6c30e623}">
          <xlrd:rvb i="255"/>
        </ext>
      </extLst>
    </bk>
    <bk>
      <extLst>
        <ext uri="{3e2802c4-a4d2-4d8b-9148-e3be6c30e623}">
          <xlrd:rvb i="256"/>
        </ext>
      </extLst>
    </bk>
    <bk>
      <extLst>
        <ext uri="{3e2802c4-a4d2-4d8b-9148-e3be6c30e623}">
          <xlrd:rvb i="257"/>
        </ext>
      </extLst>
    </bk>
    <bk>
      <extLst>
        <ext uri="{3e2802c4-a4d2-4d8b-9148-e3be6c30e623}">
          <xlrd:rvb i="258"/>
        </ext>
      </extLst>
    </bk>
    <bk>
      <extLst>
        <ext uri="{3e2802c4-a4d2-4d8b-9148-e3be6c30e623}">
          <xlrd:rvb i="259"/>
        </ext>
      </extLst>
    </bk>
    <bk>
      <extLst>
        <ext uri="{3e2802c4-a4d2-4d8b-9148-e3be6c30e623}">
          <xlrd:rvb i="260"/>
        </ext>
      </extLst>
    </bk>
    <bk>
      <extLst>
        <ext uri="{3e2802c4-a4d2-4d8b-9148-e3be6c30e623}">
          <xlrd:rvb i="261"/>
        </ext>
      </extLst>
    </bk>
    <bk>
      <extLst>
        <ext uri="{3e2802c4-a4d2-4d8b-9148-e3be6c30e623}">
          <xlrd:rvb i="262"/>
        </ext>
      </extLst>
    </bk>
    <bk>
      <extLst>
        <ext uri="{3e2802c4-a4d2-4d8b-9148-e3be6c30e623}">
          <xlrd:rvb i="263"/>
        </ext>
      </extLst>
    </bk>
    <bk>
      <extLst>
        <ext uri="{3e2802c4-a4d2-4d8b-9148-e3be6c30e623}">
          <xlrd:rvb i="264"/>
        </ext>
      </extLst>
    </bk>
    <bk>
      <extLst>
        <ext uri="{3e2802c4-a4d2-4d8b-9148-e3be6c30e623}">
          <xlrd:rvb i="265"/>
        </ext>
      </extLst>
    </bk>
    <bk>
      <extLst>
        <ext uri="{3e2802c4-a4d2-4d8b-9148-e3be6c30e623}">
          <xlrd:rvb i="266"/>
        </ext>
      </extLst>
    </bk>
    <bk>
      <extLst>
        <ext uri="{3e2802c4-a4d2-4d8b-9148-e3be6c30e623}">
          <xlrd:rvb i="267"/>
        </ext>
      </extLst>
    </bk>
    <bk>
      <extLst>
        <ext uri="{3e2802c4-a4d2-4d8b-9148-e3be6c30e623}">
          <xlrd:rvb i="268"/>
        </ext>
      </extLst>
    </bk>
    <bk>
      <extLst>
        <ext uri="{3e2802c4-a4d2-4d8b-9148-e3be6c30e623}">
          <xlrd:rvb i="269"/>
        </ext>
      </extLst>
    </bk>
    <bk>
      <extLst>
        <ext uri="{3e2802c4-a4d2-4d8b-9148-e3be6c30e623}">
          <xlrd:rvb i="270"/>
        </ext>
      </extLst>
    </bk>
    <bk>
      <extLst>
        <ext uri="{3e2802c4-a4d2-4d8b-9148-e3be6c30e623}">
          <xlrd:rvb i="271"/>
        </ext>
      </extLst>
    </bk>
    <bk>
      <extLst>
        <ext uri="{3e2802c4-a4d2-4d8b-9148-e3be6c30e623}">
          <xlrd:rvb i="272"/>
        </ext>
      </extLst>
    </bk>
    <bk>
      <extLst>
        <ext uri="{3e2802c4-a4d2-4d8b-9148-e3be6c30e623}">
          <xlrd:rvb i="273"/>
        </ext>
      </extLst>
    </bk>
    <bk>
      <extLst>
        <ext uri="{3e2802c4-a4d2-4d8b-9148-e3be6c30e623}">
          <xlrd:rvb i="274"/>
        </ext>
      </extLst>
    </bk>
    <bk>
      <extLst>
        <ext uri="{3e2802c4-a4d2-4d8b-9148-e3be6c30e623}">
          <xlrd:rvb i="275"/>
        </ext>
      </extLst>
    </bk>
    <bk>
      <extLst>
        <ext uri="{3e2802c4-a4d2-4d8b-9148-e3be6c30e623}">
          <xlrd:rvb i="276"/>
        </ext>
      </extLst>
    </bk>
    <bk>
      <extLst>
        <ext uri="{3e2802c4-a4d2-4d8b-9148-e3be6c30e623}">
          <xlrd:rvb i="277"/>
        </ext>
      </extLst>
    </bk>
    <bk>
      <extLst>
        <ext uri="{3e2802c4-a4d2-4d8b-9148-e3be6c30e623}">
          <xlrd:rvb i="278"/>
        </ext>
      </extLst>
    </bk>
    <bk>
      <extLst>
        <ext uri="{3e2802c4-a4d2-4d8b-9148-e3be6c30e623}">
          <xlrd:rvb i="279"/>
        </ext>
      </extLst>
    </bk>
    <bk>
      <extLst>
        <ext uri="{3e2802c4-a4d2-4d8b-9148-e3be6c30e623}">
          <xlrd:rvb i="280"/>
        </ext>
      </extLst>
    </bk>
    <bk>
      <extLst>
        <ext uri="{3e2802c4-a4d2-4d8b-9148-e3be6c30e623}">
          <xlrd:rvb i="281"/>
        </ext>
      </extLst>
    </bk>
    <bk>
      <extLst>
        <ext uri="{3e2802c4-a4d2-4d8b-9148-e3be6c30e623}">
          <xlrd:rvb i="282"/>
        </ext>
      </extLst>
    </bk>
    <bk>
      <extLst>
        <ext uri="{3e2802c4-a4d2-4d8b-9148-e3be6c30e623}">
          <xlrd:rvb i="283"/>
        </ext>
      </extLst>
    </bk>
    <bk>
      <extLst>
        <ext uri="{3e2802c4-a4d2-4d8b-9148-e3be6c30e623}">
          <xlrd:rvb i="284"/>
        </ext>
      </extLst>
    </bk>
    <bk>
      <extLst>
        <ext uri="{3e2802c4-a4d2-4d8b-9148-e3be6c30e623}">
          <xlrd:rvb i="285"/>
        </ext>
      </extLst>
    </bk>
    <bk>
      <extLst>
        <ext uri="{3e2802c4-a4d2-4d8b-9148-e3be6c30e623}">
          <xlrd:rvb i="286"/>
        </ext>
      </extLst>
    </bk>
    <bk>
      <extLst>
        <ext uri="{3e2802c4-a4d2-4d8b-9148-e3be6c30e623}">
          <xlrd:rvb i="287"/>
        </ext>
      </extLst>
    </bk>
    <bk>
      <extLst>
        <ext uri="{3e2802c4-a4d2-4d8b-9148-e3be6c30e623}">
          <xlrd:rvb i="288"/>
        </ext>
      </extLst>
    </bk>
    <bk>
      <extLst>
        <ext uri="{3e2802c4-a4d2-4d8b-9148-e3be6c30e623}">
          <xlrd:rvb i="289"/>
        </ext>
      </extLst>
    </bk>
    <bk>
      <extLst>
        <ext uri="{3e2802c4-a4d2-4d8b-9148-e3be6c30e623}">
          <xlrd:rvb i="290"/>
        </ext>
      </extLst>
    </bk>
    <bk>
      <extLst>
        <ext uri="{3e2802c4-a4d2-4d8b-9148-e3be6c30e623}">
          <xlrd:rvb i="291"/>
        </ext>
      </extLst>
    </bk>
    <bk>
      <extLst>
        <ext uri="{3e2802c4-a4d2-4d8b-9148-e3be6c30e623}">
          <xlrd:rvb i="292"/>
        </ext>
      </extLst>
    </bk>
    <bk>
      <extLst>
        <ext uri="{3e2802c4-a4d2-4d8b-9148-e3be6c30e623}">
          <xlrd:rvb i="293"/>
        </ext>
      </extLst>
    </bk>
    <bk>
      <extLst>
        <ext uri="{3e2802c4-a4d2-4d8b-9148-e3be6c30e623}">
          <xlrd:rvb i="294"/>
        </ext>
      </extLst>
    </bk>
    <bk>
      <extLst>
        <ext uri="{3e2802c4-a4d2-4d8b-9148-e3be6c30e623}">
          <xlrd:rvb i="295"/>
        </ext>
      </extLst>
    </bk>
    <bk>
      <extLst>
        <ext uri="{3e2802c4-a4d2-4d8b-9148-e3be6c30e623}">
          <xlrd:rvb i="296"/>
        </ext>
      </extLst>
    </bk>
    <bk>
      <extLst>
        <ext uri="{3e2802c4-a4d2-4d8b-9148-e3be6c30e623}">
          <xlrd:rvb i="297"/>
        </ext>
      </extLst>
    </bk>
    <bk>
      <extLst>
        <ext uri="{3e2802c4-a4d2-4d8b-9148-e3be6c30e623}">
          <xlrd:rvb i="298"/>
        </ext>
      </extLst>
    </bk>
    <bk>
      <extLst>
        <ext uri="{3e2802c4-a4d2-4d8b-9148-e3be6c30e623}">
          <xlrd:rvb i="299"/>
        </ext>
      </extLst>
    </bk>
    <bk>
      <extLst>
        <ext uri="{3e2802c4-a4d2-4d8b-9148-e3be6c30e623}">
          <xlrd:rvb i="300"/>
        </ext>
      </extLst>
    </bk>
    <bk>
      <extLst>
        <ext uri="{3e2802c4-a4d2-4d8b-9148-e3be6c30e623}">
          <xlrd:rvb i="301"/>
        </ext>
      </extLst>
    </bk>
    <bk>
      <extLst>
        <ext uri="{3e2802c4-a4d2-4d8b-9148-e3be6c30e623}">
          <xlrd:rvb i="302"/>
        </ext>
      </extLst>
    </bk>
    <bk>
      <extLst>
        <ext uri="{3e2802c4-a4d2-4d8b-9148-e3be6c30e623}">
          <xlrd:rvb i="303"/>
        </ext>
      </extLst>
    </bk>
    <bk>
      <extLst>
        <ext uri="{3e2802c4-a4d2-4d8b-9148-e3be6c30e623}">
          <xlrd:rvb i="304"/>
        </ext>
      </extLst>
    </bk>
    <bk>
      <extLst>
        <ext uri="{3e2802c4-a4d2-4d8b-9148-e3be6c30e623}">
          <xlrd:rvb i="305"/>
        </ext>
      </extLst>
    </bk>
    <bk>
      <extLst>
        <ext uri="{3e2802c4-a4d2-4d8b-9148-e3be6c30e623}">
          <xlrd:rvb i="306"/>
        </ext>
      </extLst>
    </bk>
    <bk>
      <extLst>
        <ext uri="{3e2802c4-a4d2-4d8b-9148-e3be6c30e623}">
          <xlrd:rvb i="307"/>
        </ext>
      </extLst>
    </bk>
    <bk>
      <extLst>
        <ext uri="{3e2802c4-a4d2-4d8b-9148-e3be6c30e623}">
          <xlrd:rvb i="308"/>
        </ext>
      </extLst>
    </bk>
    <bk>
      <extLst>
        <ext uri="{3e2802c4-a4d2-4d8b-9148-e3be6c30e623}">
          <xlrd:rvb i="309"/>
        </ext>
      </extLst>
    </bk>
    <bk>
      <extLst>
        <ext uri="{3e2802c4-a4d2-4d8b-9148-e3be6c30e623}">
          <xlrd:rvb i="310"/>
        </ext>
      </extLst>
    </bk>
    <bk>
      <extLst>
        <ext uri="{3e2802c4-a4d2-4d8b-9148-e3be6c30e623}">
          <xlrd:rvb i="311"/>
        </ext>
      </extLst>
    </bk>
    <bk>
      <extLst>
        <ext uri="{3e2802c4-a4d2-4d8b-9148-e3be6c30e623}">
          <xlrd:rvb i="312"/>
        </ext>
      </extLst>
    </bk>
    <bk>
      <extLst>
        <ext uri="{3e2802c4-a4d2-4d8b-9148-e3be6c30e623}">
          <xlrd:rvb i="313"/>
        </ext>
      </extLst>
    </bk>
    <bk>
      <extLst>
        <ext uri="{3e2802c4-a4d2-4d8b-9148-e3be6c30e623}">
          <xlrd:rvb i="314"/>
        </ext>
      </extLst>
    </bk>
    <bk>
      <extLst>
        <ext uri="{3e2802c4-a4d2-4d8b-9148-e3be6c30e623}">
          <xlrd:rvb i="315"/>
        </ext>
      </extLst>
    </bk>
    <bk>
      <extLst>
        <ext uri="{3e2802c4-a4d2-4d8b-9148-e3be6c30e623}">
          <xlrd:rvb i="316"/>
        </ext>
      </extLst>
    </bk>
    <bk>
      <extLst>
        <ext uri="{3e2802c4-a4d2-4d8b-9148-e3be6c30e623}">
          <xlrd:rvb i="317"/>
        </ext>
      </extLst>
    </bk>
    <bk>
      <extLst>
        <ext uri="{3e2802c4-a4d2-4d8b-9148-e3be6c30e623}">
          <xlrd:rvb i="318"/>
        </ext>
      </extLst>
    </bk>
    <bk>
      <extLst>
        <ext uri="{3e2802c4-a4d2-4d8b-9148-e3be6c30e623}">
          <xlrd:rvb i="319"/>
        </ext>
      </extLst>
    </bk>
    <bk>
      <extLst>
        <ext uri="{3e2802c4-a4d2-4d8b-9148-e3be6c30e623}">
          <xlrd:rvb i="320"/>
        </ext>
      </extLst>
    </bk>
    <bk>
      <extLst>
        <ext uri="{3e2802c4-a4d2-4d8b-9148-e3be6c30e623}">
          <xlrd:rvb i="321"/>
        </ext>
      </extLst>
    </bk>
    <bk>
      <extLst>
        <ext uri="{3e2802c4-a4d2-4d8b-9148-e3be6c30e623}">
          <xlrd:rvb i="322"/>
        </ext>
      </extLst>
    </bk>
    <bk>
      <extLst>
        <ext uri="{3e2802c4-a4d2-4d8b-9148-e3be6c30e623}">
          <xlrd:rvb i="323"/>
        </ext>
      </extLst>
    </bk>
    <bk>
      <extLst>
        <ext uri="{3e2802c4-a4d2-4d8b-9148-e3be6c30e623}">
          <xlrd:rvb i="324"/>
        </ext>
      </extLst>
    </bk>
    <bk>
      <extLst>
        <ext uri="{3e2802c4-a4d2-4d8b-9148-e3be6c30e623}">
          <xlrd:rvb i="325"/>
        </ext>
      </extLst>
    </bk>
    <bk>
      <extLst>
        <ext uri="{3e2802c4-a4d2-4d8b-9148-e3be6c30e623}">
          <xlrd:rvb i="326"/>
        </ext>
      </extLst>
    </bk>
    <bk>
      <extLst>
        <ext uri="{3e2802c4-a4d2-4d8b-9148-e3be6c30e623}">
          <xlrd:rvb i="327"/>
        </ext>
      </extLst>
    </bk>
    <bk>
      <extLst>
        <ext uri="{3e2802c4-a4d2-4d8b-9148-e3be6c30e623}">
          <xlrd:rvb i="328"/>
        </ext>
      </extLst>
    </bk>
    <bk>
      <extLst>
        <ext uri="{3e2802c4-a4d2-4d8b-9148-e3be6c30e623}">
          <xlrd:rvb i="329"/>
        </ext>
      </extLst>
    </bk>
    <bk>
      <extLst>
        <ext uri="{3e2802c4-a4d2-4d8b-9148-e3be6c30e623}">
          <xlrd:rvb i="330"/>
        </ext>
      </extLst>
    </bk>
    <bk>
      <extLst>
        <ext uri="{3e2802c4-a4d2-4d8b-9148-e3be6c30e623}">
          <xlrd:rvb i="331"/>
        </ext>
      </extLst>
    </bk>
    <bk>
      <extLst>
        <ext uri="{3e2802c4-a4d2-4d8b-9148-e3be6c30e623}">
          <xlrd:rvb i="332"/>
        </ext>
      </extLst>
    </bk>
    <bk>
      <extLst>
        <ext uri="{3e2802c4-a4d2-4d8b-9148-e3be6c30e623}">
          <xlrd:rvb i="333"/>
        </ext>
      </extLst>
    </bk>
    <bk>
      <extLst>
        <ext uri="{3e2802c4-a4d2-4d8b-9148-e3be6c30e623}">
          <xlrd:rvb i="334"/>
        </ext>
      </extLst>
    </bk>
    <bk>
      <extLst>
        <ext uri="{3e2802c4-a4d2-4d8b-9148-e3be6c30e623}">
          <xlrd:rvb i="335"/>
        </ext>
      </extLst>
    </bk>
    <bk>
      <extLst>
        <ext uri="{3e2802c4-a4d2-4d8b-9148-e3be6c30e623}">
          <xlrd:rvb i="336"/>
        </ext>
      </extLst>
    </bk>
    <bk>
      <extLst>
        <ext uri="{3e2802c4-a4d2-4d8b-9148-e3be6c30e623}">
          <xlrd:rvb i="337"/>
        </ext>
      </extLst>
    </bk>
    <bk>
      <extLst>
        <ext uri="{3e2802c4-a4d2-4d8b-9148-e3be6c30e623}">
          <xlrd:rvb i="338"/>
        </ext>
      </extLst>
    </bk>
    <bk>
      <extLst>
        <ext uri="{3e2802c4-a4d2-4d8b-9148-e3be6c30e623}">
          <xlrd:rvb i="339"/>
        </ext>
      </extLst>
    </bk>
    <bk>
      <extLst>
        <ext uri="{3e2802c4-a4d2-4d8b-9148-e3be6c30e623}">
          <xlrd:rvb i="340"/>
        </ext>
      </extLst>
    </bk>
    <bk>
      <extLst>
        <ext uri="{3e2802c4-a4d2-4d8b-9148-e3be6c30e623}">
          <xlrd:rvb i="341"/>
        </ext>
      </extLst>
    </bk>
    <bk>
      <extLst>
        <ext uri="{3e2802c4-a4d2-4d8b-9148-e3be6c30e623}">
          <xlrd:rvb i="342"/>
        </ext>
      </extLst>
    </bk>
    <bk>
      <extLst>
        <ext uri="{3e2802c4-a4d2-4d8b-9148-e3be6c30e623}">
          <xlrd:rvb i="343"/>
        </ext>
      </extLst>
    </bk>
    <bk>
      <extLst>
        <ext uri="{3e2802c4-a4d2-4d8b-9148-e3be6c30e623}">
          <xlrd:rvb i="344"/>
        </ext>
      </extLst>
    </bk>
    <bk>
      <extLst>
        <ext uri="{3e2802c4-a4d2-4d8b-9148-e3be6c30e623}">
          <xlrd:rvb i="345"/>
        </ext>
      </extLst>
    </bk>
    <bk>
      <extLst>
        <ext uri="{3e2802c4-a4d2-4d8b-9148-e3be6c30e623}">
          <xlrd:rvb i="346"/>
        </ext>
      </extLst>
    </bk>
    <bk>
      <extLst>
        <ext uri="{3e2802c4-a4d2-4d8b-9148-e3be6c30e623}">
          <xlrd:rvb i="347"/>
        </ext>
      </extLst>
    </bk>
    <bk>
      <extLst>
        <ext uri="{3e2802c4-a4d2-4d8b-9148-e3be6c30e623}">
          <xlrd:rvb i="348"/>
        </ext>
      </extLst>
    </bk>
    <bk>
      <extLst>
        <ext uri="{3e2802c4-a4d2-4d8b-9148-e3be6c30e623}">
          <xlrd:rvb i="349"/>
        </ext>
      </extLst>
    </bk>
    <bk>
      <extLst>
        <ext uri="{3e2802c4-a4d2-4d8b-9148-e3be6c30e623}">
          <xlrd:rvb i="350"/>
        </ext>
      </extLst>
    </bk>
    <bk>
      <extLst>
        <ext uri="{3e2802c4-a4d2-4d8b-9148-e3be6c30e623}">
          <xlrd:rvb i="351"/>
        </ext>
      </extLst>
    </bk>
    <bk>
      <extLst>
        <ext uri="{3e2802c4-a4d2-4d8b-9148-e3be6c30e623}">
          <xlrd:rvb i="352"/>
        </ext>
      </extLst>
    </bk>
    <bk>
      <extLst>
        <ext uri="{3e2802c4-a4d2-4d8b-9148-e3be6c30e623}">
          <xlrd:rvb i="353"/>
        </ext>
      </extLst>
    </bk>
    <bk>
      <extLst>
        <ext uri="{3e2802c4-a4d2-4d8b-9148-e3be6c30e623}">
          <xlrd:rvb i="354"/>
        </ext>
      </extLst>
    </bk>
    <bk>
      <extLst>
        <ext uri="{3e2802c4-a4d2-4d8b-9148-e3be6c30e623}">
          <xlrd:rvb i="355"/>
        </ext>
      </extLst>
    </bk>
    <bk>
      <extLst>
        <ext uri="{3e2802c4-a4d2-4d8b-9148-e3be6c30e623}">
          <xlrd:rvb i="356"/>
        </ext>
      </extLst>
    </bk>
    <bk>
      <extLst>
        <ext uri="{3e2802c4-a4d2-4d8b-9148-e3be6c30e623}">
          <xlrd:rvb i="357"/>
        </ext>
      </extLst>
    </bk>
    <bk>
      <extLst>
        <ext uri="{3e2802c4-a4d2-4d8b-9148-e3be6c30e623}">
          <xlrd:rvb i="358"/>
        </ext>
      </extLst>
    </bk>
    <bk>
      <extLst>
        <ext uri="{3e2802c4-a4d2-4d8b-9148-e3be6c30e623}">
          <xlrd:rvb i="359"/>
        </ext>
      </extLst>
    </bk>
    <bk>
      <extLst>
        <ext uri="{3e2802c4-a4d2-4d8b-9148-e3be6c30e623}">
          <xlrd:rvb i="360"/>
        </ext>
      </extLst>
    </bk>
    <bk>
      <extLst>
        <ext uri="{3e2802c4-a4d2-4d8b-9148-e3be6c30e623}">
          <xlrd:rvb i="361"/>
        </ext>
      </extLst>
    </bk>
    <bk>
      <extLst>
        <ext uri="{3e2802c4-a4d2-4d8b-9148-e3be6c30e623}">
          <xlrd:rvb i="362"/>
        </ext>
      </extLst>
    </bk>
    <bk>
      <extLst>
        <ext uri="{3e2802c4-a4d2-4d8b-9148-e3be6c30e623}">
          <xlrd:rvb i="363"/>
        </ext>
      </extLst>
    </bk>
    <bk>
      <extLst>
        <ext uri="{3e2802c4-a4d2-4d8b-9148-e3be6c30e623}">
          <xlrd:rvb i="364"/>
        </ext>
      </extLst>
    </bk>
    <bk>
      <extLst>
        <ext uri="{3e2802c4-a4d2-4d8b-9148-e3be6c30e623}">
          <xlrd:rvb i="365"/>
        </ext>
      </extLst>
    </bk>
    <bk>
      <extLst>
        <ext uri="{3e2802c4-a4d2-4d8b-9148-e3be6c30e623}">
          <xlrd:rvb i="366"/>
        </ext>
      </extLst>
    </bk>
    <bk>
      <extLst>
        <ext uri="{3e2802c4-a4d2-4d8b-9148-e3be6c30e623}">
          <xlrd:rvb i="367"/>
        </ext>
      </extLst>
    </bk>
    <bk>
      <extLst>
        <ext uri="{3e2802c4-a4d2-4d8b-9148-e3be6c30e623}">
          <xlrd:rvb i="368"/>
        </ext>
      </extLst>
    </bk>
    <bk>
      <extLst>
        <ext uri="{3e2802c4-a4d2-4d8b-9148-e3be6c30e623}">
          <xlrd:rvb i="369"/>
        </ext>
      </extLst>
    </bk>
    <bk>
      <extLst>
        <ext uri="{3e2802c4-a4d2-4d8b-9148-e3be6c30e623}">
          <xlrd:rvb i="370"/>
        </ext>
      </extLst>
    </bk>
    <bk>
      <extLst>
        <ext uri="{3e2802c4-a4d2-4d8b-9148-e3be6c30e623}">
          <xlrd:rvb i="371"/>
        </ext>
      </extLst>
    </bk>
    <bk>
      <extLst>
        <ext uri="{3e2802c4-a4d2-4d8b-9148-e3be6c30e623}">
          <xlrd:rvb i="372"/>
        </ext>
      </extLst>
    </bk>
    <bk>
      <extLst>
        <ext uri="{3e2802c4-a4d2-4d8b-9148-e3be6c30e623}">
          <xlrd:rvb i="373"/>
        </ext>
      </extLst>
    </bk>
    <bk>
      <extLst>
        <ext uri="{3e2802c4-a4d2-4d8b-9148-e3be6c30e623}">
          <xlrd:rvb i="374"/>
        </ext>
      </extLst>
    </bk>
    <bk>
      <extLst>
        <ext uri="{3e2802c4-a4d2-4d8b-9148-e3be6c30e623}">
          <xlrd:rvb i="375"/>
        </ext>
      </extLst>
    </bk>
    <bk>
      <extLst>
        <ext uri="{3e2802c4-a4d2-4d8b-9148-e3be6c30e623}">
          <xlrd:rvb i="376"/>
        </ext>
      </extLst>
    </bk>
    <bk>
      <extLst>
        <ext uri="{3e2802c4-a4d2-4d8b-9148-e3be6c30e623}">
          <xlrd:rvb i="377"/>
        </ext>
      </extLst>
    </bk>
    <bk>
      <extLst>
        <ext uri="{3e2802c4-a4d2-4d8b-9148-e3be6c30e623}">
          <xlrd:rvb i="378"/>
        </ext>
      </extLst>
    </bk>
    <bk>
      <extLst>
        <ext uri="{3e2802c4-a4d2-4d8b-9148-e3be6c30e623}">
          <xlrd:rvb i="379"/>
        </ext>
      </extLst>
    </bk>
    <bk>
      <extLst>
        <ext uri="{3e2802c4-a4d2-4d8b-9148-e3be6c30e623}">
          <xlrd:rvb i="380"/>
        </ext>
      </extLst>
    </bk>
    <bk>
      <extLst>
        <ext uri="{3e2802c4-a4d2-4d8b-9148-e3be6c30e623}">
          <xlrd:rvb i="381"/>
        </ext>
      </extLst>
    </bk>
    <bk>
      <extLst>
        <ext uri="{3e2802c4-a4d2-4d8b-9148-e3be6c30e623}">
          <xlrd:rvb i="382"/>
        </ext>
      </extLst>
    </bk>
    <bk>
      <extLst>
        <ext uri="{3e2802c4-a4d2-4d8b-9148-e3be6c30e623}">
          <xlrd:rvb i="383"/>
        </ext>
      </extLst>
    </bk>
    <bk>
      <extLst>
        <ext uri="{3e2802c4-a4d2-4d8b-9148-e3be6c30e623}">
          <xlrd:rvb i="384"/>
        </ext>
      </extLst>
    </bk>
    <bk>
      <extLst>
        <ext uri="{3e2802c4-a4d2-4d8b-9148-e3be6c30e623}">
          <xlrd:rvb i="385"/>
        </ext>
      </extLst>
    </bk>
    <bk>
      <extLst>
        <ext uri="{3e2802c4-a4d2-4d8b-9148-e3be6c30e623}">
          <xlrd:rvb i="386"/>
        </ext>
      </extLst>
    </bk>
    <bk>
      <extLst>
        <ext uri="{3e2802c4-a4d2-4d8b-9148-e3be6c30e623}">
          <xlrd:rvb i="387"/>
        </ext>
      </extLst>
    </bk>
    <bk>
      <extLst>
        <ext uri="{3e2802c4-a4d2-4d8b-9148-e3be6c30e623}">
          <xlrd:rvb i="388"/>
        </ext>
      </extLst>
    </bk>
    <bk>
      <extLst>
        <ext uri="{3e2802c4-a4d2-4d8b-9148-e3be6c30e623}">
          <xlrd:rvb i="389"/>
        </ext>
      </extLst>
    </bk>
    <bk>
      <extLst>
        <ext uri="{3e2802c4-a4d2-4d8b-9148-e3be6c30e623}">
          <xlrd:rvb i="390"/>
        </ext>
      </extLst>
    </bk>
    <bk>
      <extLst>
        <ext uri="{3e2802c4-a4d2-4d8b-9148-e3be6c30e623}">
          <xlrd:rvb i="391"/>
        </ext>
      </extLst>
    </bk>
    <bk>
      <extLst>
        <ext uri="{3e2802c4-a4d2-4d8b-9148-e3be6c30e623}">
          <xlrd:rvb i="392"/>
        </ext>
      </extLst>
    </bk>
    <bk>
      <extLst>
        <ext uri="{3e2802c4-a4d2-4d8b-9148-e3be6c30e623}">
          <xlrd:rvb i="393"/>
        </ext>
      </extLst>
    </bk>
    <bk>
      <extLst>
        <ext uri="{3e2802c4-a4d2-4d8b-9148-e3be6c30e623}">
          <xlrd:rvb i="394"/>
        </ext>
      </extLst>
    </bk>
    <bk>
      <extLst>
        <ext uri="{3e2802c4-a4d2-4d8b-9148-e3be6c30e623}">
          <xlrd:rvb i="395"/>
        </ext>
      </extLst>
    </bk>
    <bk>
      <extLst>
        <ext uri="{3e2802c4-a4d2-4d8b-9148-e3be6c30e623}">
          <xlrd:rvb i="396"/>
        </ext>
      </extLst>
    </bk>
    <bk>
      <extLst>
        <ext uri="{3e2802c4-a4d2-4d8b-9148-e3be6c30e623}">
          <xlrd:rvb i="397"/>
        </ext>
      </extLst>
    </bk>
    <bk>
      <extLst>
        <ext uri="{3e2802c4-a4d2-4d8b-9148-e3be6c30e623}">
          <xlrd:rvb i="398"/>
        </ext>
      </extLst>
    </bk>
    <bk>
      <extLst>
        <ext uri="{3e2802c4-a4d2-4d8b-9148-e3be6c30e623}">
          <xlrd:rvb i="399"/>
        </ext>
      </extLst>
    </bk>
    <bk>
      <extLst>
        <ext uri="{3e2802c4-a4d2-4d8b-9148-e3be6c30e623}">
          <xlrd:rvb i="400"/>
        </ext>
      </extLst>
    </bk>
    <bk>
      <extLst>
        <ext uri="{3e2802c4-a4d2-4d8b-9148-e3be6c30e623}">
          <xlrd:rvb i="401"/>
        </ext>
      </extLst>
    </bk>
    <bk>
      <extLst>
        <ext uri="{3e2802c4-a4d2-4d8b-9148-e3be6c30e623}">
          <xlrd:rvb i="402"/>
        </ext>
      </extLst>
    </bk>
    <bk>
      <extLst>
        <ext uri="{3e2802c4-a4d2-4d8b-9148-e3be6c30e623}">
          <xlrd:rvb i="403"/>
        </ext>
      </extLst>
    </bk>
    <bk>
      <extLst>
        <ext uri="{3e2802c4-a4d2-4d8b-9148-e3be6c30e623}">
          <xlrd:rvb i="404"/>
        </ext>
      </extLst>
    </bk>
    <bk>
      <extLst>
        <ext uri="{3e2802c4-a4d2-4d8b-9148-e3be6c30e623}">
          <xlrd:rvb i="405"/>
        </ext>
      </extLst>
    </bk>
    <bk>
      <extLst>
        <ext uri="{3e2802c4-a4d2-4d8b-9148-e3be6c30e623}">
          <xlrd:rvb i="406"/>
        </ext>
      </extLst>
    </bk>
    <bk>
      <extLst>
        <ext uri="{3e2802c4-a4d2-4d8b-9148-e3be6c30e623}">
          <xlrd:rvb i="407"/>
        </ext>
      </extLst>
    </bk>
    <bk>
      <extLst>
        <ext uri="{3e2802c4-a4d2-4d8b-9148-e3be6c30e623}">
          <xlrd:rvb i="408"/>
        </ext>
      </extLst>
    </bk>
    <bk>
      <extLst>
        <ext uri="{3e2802c4-a4d2-4d8b-9148-e3be6c30e623}">
          <xlrd:rvb i="409"/>
        </ext>
      </extLst>
    </bk>
    <bk>
      <extLst>
        <ext uri="{3e2802c4-a4d2-4d8b-9148-e3be6c30e623}">
          <xlrd:rvb i="410"/>
        </ext>
      </extLst>
    </bk>
    <bk>
      <extLst>
        <ext uri="{3e2802c4-a4d2-4d8b-9148-e3be6c30e623}">
          <xlrd:rvb i="411"/>
        </ext>
      </extLst>
    </bk>
    <bk>
      <extLst>
        <ext uri="{3e2802c4-a4d2-4d8b-9148-e3be6c30e623}">
          <xlrd:rvb i="412"/>
        </ext>
      </extLst>
    </bk>
    <bk>
      <extLst>
        <ext uri="{3e2802c4-a4d2-4d8b-9148-e3be6c30e623}">
          <xlrd:rvb i="413"/>
        </ext>
      </extLst>
    </bk>
    <bk>
      <extLst>
        <ext uri="{3e2802c4-a4d2-4d8b-9148-e3be6c30e623}">
          <xlrd:rvb i="414"/>
        </ext>
      </extLst>
    </bk>
    <bk>
      <extLst>
        <ext uri="{3e2802c4-a4d2-4d8b-9148-e3be6c30e623}">
          <xlrd:rvb i="415"/>
        </ext>
      </extLst>
    </bk>
    <bk>
      <extLst>
        <ext uri="{3e2802c4-a4d2-4d8b-9148-e3be6c30e623}">
          <xlrd:rvb i="416"/>
        </ext>
      </extLst>
    </bk>
    <bk>
      <extLst>
        <ext uri="{3e2802c4-a4d2-4d8b-9148-e3be6c30e623}">
          <xlrd:rvb i="417"/>
        </ext>
      </extLst>
    </bk>
    <bk>
      <extLst>
        <ext uri="{3e2802c4-a4d2-4d8b-9148-e3be6c30e623}">
          <xlrd:rvb i="418"/>
        </ext>
      </extLst>
    </bk>
    <bk>
      <extLst>
        <ext uri="{3e2802c4-a4d2-4d8b-9148-e3be6c30e623}">
          <xlrd:rvb i="419"/>
        </ext>
      </extLst>
    </bk>
    <bk>
      <extLst>
        <ext uri="{3e2802c4-a4d2-4d8b-9148-e3be6c30e623}">
          <xlrd:rvb i="420"/>
        </ext>
      </extLst>
    </bk>
    <bk>
      <extLst>
        <ext uri="{3e2802c4-a4d2-4d8b-9148-e3be6c30e623}">
          <xlrd:rvb i="421"/>
        </ext>
      </extLst>
    </bk>
    <bk>
      <extLst>
        <ext uri="{3e2802c4-a4d2-4d8b-9148-e3be6c30e623}">
          <xlrd:rvb i="422"/>
        </ext>
      </extLst>
    </bk>
    <bk>
      <extLst>
        <ext uri="{3e2802c4-a4d2-4d8b-9148-e3be6c30e623}">
          <xlrd:rvb i="423"/>
        </ext>
      </extLst>
    </bk>
    <bk>
      <extLst>
        <ext uri="{3e2802c4-a4d2-4d8b-9148-e3be6c30e623}">
          <xlrd:rvb i="424"/>
        </ext>
      </extLst>
    </bk>
    <bk>
      <extLst>
        <ext uri="{3e2802c4-a4d2-4d8b-9148-e3be6c30e623}">
          <xlrd:rvb i="425"/>
        </ext>
      </extLst>
    </bk>
    <bk>
      <extLst>
        <ext uri="{3e2802c4-a4d2-4d8b-9148-e3be6c30e623}">
          <xlrd:rvb i="426"/>
        </ext>
      </extLst>
    </bk>
    <bk>
      <extLst>
        <ext uri="{3e2802c4-a4d2-4d8b-9148-e3be6c30e623}">
          <xlrd:rvb i="427"/>
        </ext>
      </extLst>
    </bk>
    <bk>
      <extLst>
        <ext uri="{3e2802c4-a4d2-4d8b-9148-e3be6c30e623}">
          <xlrd:rvb i="428"/>
        </ext>
      </extLst>
    </bk>
    <bk>
      <extLst>
        <ext uri="{3e2802c4-a4d2-4d8b-9148-e3be6c30e623}">
          <xlrd:rvb i="429"/>
        </ext>
      </extLst>
    </bk>
    <bk>
      <extLst>
        <ext uri="{3e2802c4-a4d2-4d8b-9148-e3be6c30e623}">
          <xlrd:rvb i="430"/>
        </ext>
      </extLst>
    </bk>
    <bk>
      <extLst>
        <ext uri="{3e2802c4-a4d2-4d8b-9148-e3be6c30e623}">
          <xlrd:rvb i="431"/>
        </ext>
      </extLst>
    </bk>
    <bk>
      <extLst>
        <ext uri="{3e2802c4-a4d2-4d8b-9148-e3be6c30e623}">
          <xlrd:rvb i="432"/>
        </ext>
      </extLst>
    </bk>
    <bk>
      <extLst>
        <ext uri="{3e2802c4-a4d2-4d8b-9148-e3be6c30e623}">
          <xlrd:rvb i="433"/>
        </ext>
      </extLst>
    </bk>
    <bk>
      <extLst>
        <ext uri="{3e2802c4-a4d2-4d8b-9148-e3be6c30e623}">
          <xlrd:rvb i="434"/>
        </ext>
      </extLst>
    </bk>
    <bk>
      <extLst>
        <ext uri="{3e2802c4-a4d2-4d8b-9148-e3be6c30e623}">
          <xlrd:rvb i="435"/>
        </ext>
      </extLst>
    </bk>
    <bk>
      <extLst>
        <ext uri="{3e2802c4-a4d2-4d8b-9148-e3be6c30e623}">
          <xlrd:rvb i="436"/>
        </ext>
      </extLst>
    </bk>
    <bk>
      <extLst>
        <ext uri="{3e2802c4-a4d2-4d8b-9148-e3be6c30e623}">
          <xlrd:rvb i="437"/>
        </ext>
      </extLst>
    </bk>
    <bk>
      <extLst>
        <ext uri="{3e2802c4-a4d2-4d8b-9148-e3be6c30e623}">
          <xlrd:rvb i="438"/>
        </ext>
      </extLst>
    </bk>
    <bk>
      <extLst>
        <ext uri="{3e2802c4-a4d2-4d8b-9148-e3be6c30e623}">
          <xlrd:rvb i="439"/>
        </ext>
      </extLst>
    </bk>
    <bk>
      <extLst>
        <ext uri="{3e2802c4-a4d2-4d8b-9148-e3be6c30e623}">
          <xlrd:rvb i="440"/>
        </ext>
      </extLst>
    </bk>
    <bk>
      <extLst>
        <ext uri="{3e2802c4-a4d2-4d8b-9148-e3be6c30e623}">
          <xlrd:rvb i="441"/>
        </ext>
      </extLst>
    </bk>
    <bk>
      <extLst>
        <ext uri="{3e2802c4-a4d2-4d8b-9148-e3be6c30e623}">
          <xlrd:rvb i="442"/>
        </ext>
      </extLst>
    </bk>
    <bk>
      <extLst>
        <ext uri="{3e2802c4-a4d2-4d8b-9148-e3be6c30e623}">
          <xlrd:rvb i="443"/>
        </ext>
      </extLst>
    </bk>
    <bk>
      <extLst>
        <ext uri="{3e2802c4-a4d2-4d8b-9148-e3be6c30e623}">
          <xlrd:rvb i="444"/>
        </ext>
      </extLst>
    </bk>
    <bk>
      <extLst>
        <ext uri="{3e2802c4-a4d2-4d8b-9148-e3be6c30e623}">
          <xlrd:rvb i="445"/>
        </ext>
      </extLst>
    </bk>
    <bk>
      <extLst>
        <ext uri="{3e2802c4-a4d2-4d8b-9148-e3be6c30e623}">
          <xlrd:rvb i="446"/>
        </ext>
      </extLst>
    </bk>
    <bk>
      <extLst>
        <ext uri="{3e2802c4-a4d2-4d8b-9148-e3be6c30e623}">
          <xlrd:rvb i="447"/>
        </ext>
      </extLst>
    </bk>
    <bk>
      <extLst>
        <ext uri="{3e2802c4-a4d2-4d8b-9148-e3be6c30e623}">
          <xlrd:rvb i="448"/>
        </ext>
      </extLst>
    </bk>
    <bk>
      <extLst>
        <ext uri="{3e2802c4-a4d2-4d8b-9148-e3be6c30e623}">
          <xlrd:rvb i="449"/>
        </ext>
      </extLst>
    </bk>
    <bk>
      <extLst>
        <ext uri="{3e2802c4-a4d2-4d8b-9148-e3be6c30e623}">
          <xlrd:rvb i="450"/>
        </ext>
      </extLst>
    </bk>
    <bk>
      <extLst>
        <ext uri="{3e2802c4-a4d2-4d8b-9148-e3be6c30e623}">
          <xlrd:rvb i="451"/>
        </ext>
      </extLst>
    </bk>
    <bk>
      <extLst>
        <ext uri="{3e2802c4-a4d2-4d8b-9148-e3be6c30e623}">
          <xlrd:rvb i="452"/>
        </ext>
      </extLst>
    </bk>
    <bk>
      <extLst>
        <ext uri="{3e2802c4-a4d2-4d8b-9148-e3be6c30e623}">
          <xlrd:rvb i="453"/>
        </ext>
      </extLst>
    </bk>
    <bk>
      <extLst>
        <ext uri="{3e2802c4-a4d2-4d8b-9148-e3be6c30e623}">
          <xlrd:rvb i="454"/>
        </ext>
      </extLst>
    </bk>
    <bk>
      <extLst>
        <ext uri="{3e2802c4-a4d2-4d8b-9148-e3be6c30e623}">
          <xlrd:rvb i="455"/>
        </ext>
      </extLst>
    </bk>
    <bk>
      <extLst>
        <ext uri="{3e2802c4-a4d2-4d8b-9148-e3be6c30e623}">
          <xlrd:rvb i="456"/>
        </ext>
      </extLst>
    </bk>
    <bk>
      <extLst>
        <ext uri="{3e2802c4-a4d2-4d8b-9148-e3be6c30e623}">
          <xlrd:rvb i="457"/>
        </ext>
      </extLst>
    </bk>
    <bk>
      <extLst>
        <ext uri="{3e2802c4-a4d2-4d8b-9148-e3be6c30e623}">
          <xlrd:rvb i="458"/>
        </ext>
      </extLst>
    </bk>
    <bk>
      <extLst>
        <ext uri="{3e2802c4-a4d2-4d8b-9148-e3be6c30e623}">
          <xlrd:rvb i="459"/>
        </ext>
      </extLst>
    </bk>
    <bk>
      <extLst>
        <ext uri="{3e2802c4-a4d2-4d8b-9148-e3be6c30e623}">
          <xlrd:rvb i="460"/>
        </ext>
      </extLst>
    </bk>
    <bk>
      <extLst>
        <ext uri="{3e2802c4-a4d2-4d8b-9148-e3be6c30e623}">
          <xlrd:rvb i="461"/>
        </ext>
      </extLst>
    </bk>
    <bk>
      <extLst>
        <ext uri="{3e2802c4-a4d2-4d8b-9148-e3be6c30e623}">
          <xlrd:rvb i="462"/>
        </ext>
      </extLst>
    </bk>
    <bk>
      <extLst>
        <ext uri="{3e2802c4-a4d2-4d8b-9148-e3be6c30e623}">
          <xlrd:rvb i="463"/>
        </ext>
      </extLst>
    </bk>
    <bk>
      <extLst>
        <ext uri="{3e2802c4-a4d2-4d8b-9148-e3be6c30e623}">
          <xlrd:rvb i="464"/>
        </ext>
      </extLst>
    </bk>
    <bk>
      <extLst>
        <ext uri="{3e2802c4-a4d2-4d8b-9148-e3be6c30e623}">
          <xlrd:rvb i="465"/>
        </ext>
      </extLst>
    </bk>
    <bk>
      <extLst>
        <ext uri="{3e2802c4-a4d2-4d8b-9148-e3be6c30e623}">
          <xlrd:rvb i="466"/>
        </ext>
      </extLst>
    </bk>
    <bk>
      <extLst>
        <ext uri="{3e2802c4-a4d2-4d8b-9148-e3be6c30e623}">
          <xlrd:rvb i="467"/>
        </ext>
      </extLst>
    </bk>
    <bk>
      <extLst>
        <ext uri="{3e2802c4-a4d2-4d8b-9148-e3be6c30e623}">
          <xlrd:rvb i="468"/>
        </ext>
      </extLst>
    </bk>
    <bk>
      <extLst>
        <ext uri="{3e2802c4-a4d2-4d8b-9148-e3be6c30e623}">
          <xlrd:rvb i="469"/>
        </ext>
      </extLst>
    </bk>
    <bk>
      <extLst>
        <ext uri="{3e2802c4-a4d2-4d8b-9148-e3be6c30e623}">
          <xlrd:rvb i="470"/>
        </ext>
      </extLst>
    </bk>
    <bk>
      <extLst>
        <ext uri="{3e2802c4-a4d2-4d8b-9148-e3be6c30e623}">
          <xlrd:rvb i="471"/>
        </ext>
      </extLst>
    </bk>
    <bk>
      <extLst>
        <ext uri="{3e2802c4-a4d2-4d8b-9148-e3be6c30e623}">
          <xlrd:rvb i="472"/>
        </ext>
      </extLst>
    </bk>
    <bk>
      <extLst>
        <ext uri="{3e2802c4-a4d2-4d8b-9148-e3be6c30e623}">
          <xlrd:rvb i="473"/>
        </ext>
      </extLst>
    </bk>
    <bk>
      <extLst>
        <ext uri="{3e2802c4-a4d2-4d8b-9148-e3be6c30e623}">
          <xlrd:rvb i="474"/>
        </ext>
      </extLst>
    </bk>
    <bk>
      <extLst>
        <ext uri="{3e2802c4-a4d2-4d8b-9148-e3be6c30e623}">
          <xlrd:rvb i="475"/>
        </ext>
      </extLst>
    </bk>
    <bk>
      <extLst>
        <ext uri="{3e2802c4-a4d2-4d8b-9148-e3be6c30e623}">
          <xlrd:rvb i="476"/>
        </ext>
      </extLst>
    </bk>
    <bk>
      <extLst>
        <ext uri="{3e2802c4-a4d2-4d8b-9148-e3be6c30e623}">
          <xlrd:rvb i="477"/>
        </ext>
      </extLst>
    </bk>
    <bk>
      <extLst>
        <ext uri="{3e2802c4-a4d2-4d8b-9148-e3be6c30e623}">
          <xlrd:rvb i="478"/>
        </ext>
      </extLst>
    </bk>
    <bk>
      <extLst>
        <ext uri="{3e2802c4-a4d2-4d8b-9148-e3be6c30e623}">
          <xlrd:rvb i="479"/>
        </ext>
      </extLst>
    </bk>
    <bk>
      <extLst>
        <ext uri="{3e2802c4-a4d2-4d8b-9148-e3be6c30e623}">
          <xlrd:rvb i="480"/>
        </ext>
      </extLst>
    </bk>
    <bk>
      <extLst>
        <ext uri="{3e2802c4-a4d2-4d8b-9148-e3be6c30e623}">
          <xlrd:rvb i="481"/>
        </ext>
      </extLst>
    </bk>
    <bk>
      <extLst>
        <ext uri="{3e2802c4-a4d2-4d8b-9148-e3be6c30e623}">
          <xlrd:rvb i="482"/>
        </ext>
      </extLst>
    </bk>
    <bk>
      <extLst>
        <ext uri="{3e2802c4-a4d2-4d8b-9148-e3be6c30e623}">
          <xlrd:rvb i="483"/>
        </ext>
      </extLst>
    </bk>
    <bk>
      <extLst>
        <ext uri="{3e2802c4-a4d2-4d8b-9148-e3be6c30e623}">
          <xlrd:rvb i="484"/>
        </ext>
      </extLst>
    </bk>
    <bk>
      <extLst>
        <ext uri="{3e2802c4-a4d2-4d8b-9148-e3be6c30e623}">
          <xlrd:rvb i="485"/>
        </ext>
      </extLst>
    </bk>
    <bk>
      <extLst>
        <ext uri="{3e2802c4-a4d2-4d8b-9148-e3be6c30e623}">
          <xlrd:rvb i="486"/>
        </ext>
      </extLst>
    </bk>
    <bk>
      <extLst>
        <ext uri="{3e2802c4-a4d2-4d8b-9148-e3be6c30e623}">
          <xlrd:rvb i="487"/>
        </ext>
      </extLst>
    </bk>
    <bk>
      <extLst>
        <ext uri="{3e2802c4-a4d2-4d8b-9148-e3be6c30e623}">
          <xlrd:rvb i="488"/>
        </ext>
      </extLst>
    </bk>
    <bk>
      <extLst>
        <ext uri="{3e2802c4-a4d2-4d8b-9148-e3be6c30e623}">
          <xlrd:rvb i="489"/>
        </ext>
      </extLst>
    </bk>
    <bk>
      <extLst>
        <ext uri="{3e2802c4-a4d2-4d8b-9148-e3be6c30e623}">
          <xlrd:rvb i="490"/>
        </ext>
      </extLst>
    </bk>
    <bk>
      <extLst>
        <ext uri="{3e2802c4-a4d2-4d8b-9148-e3be6c30e623}">
          <xlrd:rvb i="491"/>
        </ext>
      </extLst>
    </bk>
    <bk>
      <extLst>
        <ext uri="{3e2802c4-a4d2-4d8b-9148-e3be6c30e623}">
          <xlrd:rvb i="492"/>
        </ext>
      </extLst>
    </bk>
    <bk>
      <extLst>
        <ext uri="{3e2802c4-a4d2-4d8b-9148-e3be6c30e623}">
          <xlrd:rvb i="493"/>
        </ext>
      </extLst>
    </bk>
    <bk>
      <extLst>
        <ext uri="{3e2802c4-a4d2-4d8b-9148-e3be6c30e623}">
          <xlrd:rvb i="494"/>
        </ext>
      </extLst>
    </bk>
    <bk>
      <extLst>
        <ext uri="{3e2802c4-a4d2-4d8b-9148-e3be6c30e623}">
          <xlrd:rvb i="495"/>
        </ext>
      </extLst>
    </bk>
    <bk>
      <extLst>
        <ext uri="{3e2802c4-a4d2-4d8b-9148-e3be6c30e623}">
          <xlrd:rvb i="496"/>
        </ext>
      </extLst>
    </bk>
    <bk>
      <extLst>
        <ext uri="{3e2802c4-a4d2-4d8b-9148-e3be6c30e623}">
          <xlrd:rvb i="497"/>
        </ext>
      </extLst>
    </bk>
    <bk>
      <extLst>
        <ext uri="{3e2802c4-a4d2-4d8b-9148-e3be6c30e623}">
          <xlrd:rvb i="498"/>
        </ext>
      </extLst>
    </bk>
    <bk>
      <extLst>
        <ext uri="{3e2802c4-a4d2-4d8b-9148-e3be6c30e623}">
          <xlrd:rvb i="499"/>
        </ext>
      </extLst>
    </bk>
    <bk>
      <extLst>
        <ext uri="{3e2802c4-a4d2-4d8b-9148-e3be6c30e623}">
          <xlrd:rvb i="500"/>
        </ext>
      </extLst>
    </bk>
    <bk>
      <extLst>
        <ext uri="{3e2802c4-a4d2-4d8b-9148-e3be6c30e623}">
          <xlrd:rvb i="501"/>
        </ext>
      </extLst>
    </bk>
    <bk>
      <extLst>
        <ext uri="{3e2802c4-a4d2-4d8b-9148-e3be6c30e623}">
          <xlrd:rvb i="502"/>
        </ext>
      </extLst>
    </bk>
    <bk>
      <extLst>
        <ext uri="{3e2802c4-a4d2-4d8b-9148-e3be6c30e623}">
          <xlrd:rvb i="503"/>
        </ext>
      </extLst>
    </bk>
    <bk>
      <extLst>
        <ext uri="{3e2802c4-a4d2-4d8b-9148-e3be6c30e623}">
          <xlrd:rvb i="504"/>
        </ext>
      </extLst>
    </bk>
    <bk>
      <extLst>
        <ext uri="{3e2802c4-a4d2-4d8b-9148-e3be6c30e623}">
          <xlrd:rvb i="505"/>
        </ext>
      </extLst>
    </bk>
    <bk>
      <extLst>
        <ext uri="{3e2802c4-a4d2-4d8b-9148-e3be6c30e623}">
          <xlrd:rvb i="506"/>
        </ext>
      </extLst>
    </bk>
    <bk>
      <extLst>
        <ext uri="{3e2802c4-a4d2-4d8b-9148-e3be6c30e623}">
          <xlrd:rvb i="507"/>
        </ext>
      </extLst>
    </bk>
    <bk>
      <extLst>
        <ext uri="{3e2802c4-a4d2-4d8b-9148-e3be6c30e623}">
          <xlrd:rvb i="508"/>
        </ext>
      </extLst>
    </bk>
    <bk>
      <extLst>
        <ext uri="{3e2802c4-a4d2-4d8b-9148-e3be6c30e623}">
          <xlrd:rvb i="509"/>
        </ext>
      </extLst>
    </bk>
    <bk>
      <extLst>
        <ext uri="{3e2802c4-a4d2-4d8b-9148-e3be6c30e623}">
          <xlrd:rvb i="510"/>
        </ext>
      </extLst>
    </bk>
    <bk>
      <extLst>
        <ext uri="{3e2802c4-a4d2-4d8b-9148-e3be6c30e623}">
          <xlrd:rvb i="511"/>
        </ext>
      </extLst>
    </bk>
    <bk>
      <extLst>
        <ext uri="{3e2802c4-a4d2-4d8b-9148-e3be6c30e623}">
          <xlrd:rvb i="512"/>
        </ext>
      </extLst>
    </bk>
    <bk>
      <extLst>
        <ext uri="{3e2802c4-a4d2-4d8b-9148-e3be6c30e623}">
          <xlrd:rvb i="513"/>
        </ext>
      </extLst>
    </bk>
    <bk>
      <extLst>
        <ext uri="{3e2802c4-a4d2-4d8b-9148-e3be6c30e623}">
          <xlrd:rvb i="514"/>
        </ext>
      </extLst>
    </bk>
    <bk>
      <extLst>
        <ext uri="{3e2802c4-a4d2-4d8b-9148-e3be6c30e623}">
          <xlrd:rvb i="515"/>
        </ext>
      </extLst>
    </bk>
    <bk>
      <extLst>
        <ext uri="{3e2802c4-a4d2-4d8b-9148-e3be6c30e623}">
          <xlrd:rvb i="516"/>
        </ext>
      </extLst>
    </bk>
    <bk>
      <extLst>
        <ext uri="{3e2802c4-a4d2-4d8b-9148-e3be6c30e623}">
          <xlrd:rvb i="517"/>
        </ext>
      </extLst>
    </bk>
    <bk>
      <extLst>
        <ext uri="{3e2802c4-a4d2-4d8b-9148-e3be6c30e623}">
          <xlrd:rvb i="518"/>
        </ext>
      </extLst>
    </bk>
    <bk>
      <extLst>
        <ext uri="{3e2802c4-a4d2-4d8b-9148-e3be6c30e623}">
          <xlrd:rvb i="519"/>
        </ext>
      </extLst>
    </bk>
    <bk>
      <extLst>
        <ext uri="{3e2802c4-a4d2-4d8b-9148-e3be6c30e623}">
          <xlrd:rvb i="520"/>
        </ext>
      </extLst>
    </bk>
    <bk>
      <extLst>
        <ext uri="{3e2802c4-a4d2-4d8b-9148-e3be6c30e623}">
          <xlrd:rvb i="521"/>
        </ext>
      </extLst>
    </bk>
    <bk>
      <extLst>
        <ext uri="{3e2802c4-a4d2-4d8b-9148-e3be6c30e623}">
          <xlrd:rvb i="522"/>
        </ext>
      </extLst>
    </bk>
    <bk>
      <extLst>
        <ext uri="{3e2802c4-a4d2-4d8b-9148-e3be6c30e623}">
          <xlrd:rvb i="523"/>
        </ext>
      </extLst>
    </bk>
    <bk>
      <extLst>
        <ext uri="{3e2802c4-a4d2-4d8b-9148-e3be6c30e623}">
          <xlrd:rvb i="524"/>
        </ext>
      </extLst>
    </bk>
    <bk>
      <extLst>
        <ext uri="{3e2802c4-a4d2-4d8b-9148-e3be6c30e623}">
          <xlrd:rvb i="525"/>
        </ext>
      </extLst>
    </bk>
    <bk>
      <extLst>
        <ext uri="{3e2802c4-a4d2-4d8b-9148-e3be6c30e623}">
          <xlrd:rvb i="526"/>
        </ext>
      </extLst>
    </bk>
    <bk>
      <extLst>
        <ext uri="{3e2802c4-a4d2-4d8b-9148-e3be6c30e623}">
          <xlrd:rvb i="527"/>
        </ext>
      </extLst>
    </bk>
    <bk>
      <extLst>
        <ext uri="{3e2802c4-a4d2-4d8b-9148-e3be6c30e623}">
          <xlrd:rvb i="528"/>
        </ext>
      </extLst>
    </bk>
    <bk>
      <extLst>
        <ext uri="{3e2802c4-a4d2-4d8b-9148-e3be6c30e623}">
          <xlrd:rvb i="529"/>
        </ext>
      </extLst>
    </bk>
    <bk>
      <extLst>
        <ext uri="{3e2802c4-a4d2-4d8b-9148-e3be6c30e623}">
          <xlrd:rvb i="530"/>
        </ext>
      </extLst>
    </bk>
    <bk>
      <extLst>
        <ext uri="{3e2802c4-a4d2-4d8b-9148-e3be6c30e623}">
          <xlrd:rvb i="531"/>
        </ext>
      </extLst>
    </bk>
    <bk>
      <extLst>
        <ext uri="{3e2802c4-a4d2-4d8b-9148-e3be6c30e623}">
          <xlrd:rvb i="532"/>
        </ext>
      </extLst>
    </bk>
    <bk>
      <extLst>
        <ext uri="{3e2802c4-a4d2-4d8b-9148-e3be6c30e623}">
          <xlrd:rvb i="533"/>
        </ext>
      </extLst>
    </bk>
    <bk>
      <extLst>
        <ext uri="{3e2802c4-a4d2-4d8b-9148-e3be6c30e623}">
          <xlrd:rvb i="534"/>
        </ext>
      </extLst>
    </bk>
    <bk>
      <extLst>
        <ext uri="{3e2802c4-a4d2-4d8b-9148-e3be6c30e623}">
          <xlrd:rvb i="535"/>
        </ext>
      </extLst>
    </bk>
    <bk>
      <extLst>
        <ext uri="{3e2802c4-a4d2-4d8b-9148-e3be6c30e623}">
          <xlrd:rvb i="536"/>
        </ext>
      </extLst>
    </bk>
    <bk>
      <extLst>
        <ext uri="{3e2802c4-a4d2-4d8b-9148-e3be6c30e623}">
          <xlrd:rvb i="537"/>
        </ext>
      </extLst>
    </bk>
    <bk>
      <extLst>
        <ext uri="{3e2802c4-a4d2-4d8b-9148-e3be6c30e623}">
          <xlrd:rvb i="538"/>
        </ext>
      </extLst>
    </bk>
    <bk>
      <extLst>
        <ext uri="{3e2802c4-a4d2-4d8b-9148-e3be6c30e623}">
          <xlrd:rvb i="539"/>
        </ext>
      </extLst>
    </bk>
    <bk>
      <extLst>
        <ext uri="{3e2802c4-a4d2-4d8b-9148-e3be6c30e623}">
          <xlrd:rvb i="540"/>
        </ext>
      </extLst>
    </bk>
    <bk>
      <extLst>
        <ext uri="{3e2802c4-a4d2-4d8b-9148-e3be6c30e623}">
          <xlrd:rvb i="541"/>
        </ext>
      </extLst>
    </bk>
    <bk>
      <extLst>
        <ext uri="{3e2802c4-a4d2-4d8b-9148-e3be6c30e623}">
          <xlrd:rvb i="542"/>
        </ext>
      </extLst>
    </bk>
    <bk>
      <extLst>
        <ext uri="{3e2802c4-a4d2-4d8b-9148-e3be6c30e623}">
          <xlrd:rvb i="543"/>
        </ext>
      </extLst>
    </bk>
    <bk>
      <extLst>
        <ext uri="{3e2802c4-a4d2-4d8b-9148-e3be6c30e623}">
          <xlrd:rvb i="544"/>
        </ext>
      </extLst>
    </bk>
    <bk>
      <extLst>
        <ext uri="{3e2802c4-a4d2-4d8b-9148-e3be6c30e623}">
          <xlrd:rvb i="545"/>
        </ext>
      </extLst>
    </bk>
    <bk>
      <extLst>
        <ext uri="{3e2802c4-a4d2-4d8b-9148-e3be6c30e623}">
          <xlrd:rvb i="546"/>
        </ext>
      </extLst>
    </bk>
    <bk>
      <extLst>
        <ext uri="{3e2802c4-a4d2-4d8b-9148-e3be6c30e623}">
          <xlrd:rvb i="547"/>
        </ext>
      </extLst>
    </bk>
    <bk>
      <extLst>
        <ext uri="{3e2802c4-a4d2-4d8b-9148-e3be6c30e623}">
          <xlrd:rvb i="548"/>
        </ext>
      </extLst>
    </bk>
    <bk>
      <extLst>
        <ext uri="{3e2802c4-a4d2-4d8b-9148-e3be6c30e623}">
          <xlrd:rvb i="549"/>
        </ext>
      </extLst>
    </bk>
    <bk>
      <extLst>
        <ext uri="{3e2802c4-a4d2-4d8b-9148-e3be6c30e623}">
          <xlrd:rvb i="550"/>
        </ext>
      </extLst>
    </bk>
    <bk>
      <extLst>
        <ext uri="{3e2802c4-a4d2-4d8b-9148-e3be6c30e623}">
          <xlrd:rvb i="551"/>
        </ext>
      </extLst>
    </bk>
    <bk>
      <extLst>
        <ext uri="{3e2802c4-a4d2-4d8b-9148-e3be6c30e623}">
          <xlrd:rvb i="552"/>
        </ext>
      </extLst>
    </bk>
    <bk>
      <extLst>
        <ext uri="{3e2802c4-a4d2-4d8b-9148-e3be6c30e623}">
          <xlrd:rvb i="553"/>
        </ext>
      </extLst>
    </bk>
    <bk>
      <extLst>
        <ext uri="{3e2802c4-a4d2-4d8b-9148-e3be6c30e623}">
          <xlrd:rvb i="554"/>
        </ext>
      </extLst>
    </bk>
    <bk>
      <extLst>
        <ext uri="{3e2802c4-a4d2-4d8b-9148-e3be6c30e623}">
          <xlrd:rvb i="555"/>
        </ext>
      </extLst>
    </bk>
    <bk>
      <extLst>
        <ext uri="{3e2802c4-a4d2-4d8b-9148-e3be6c30e623}">
          <xlrd:rvb i="556"/>
        </ext>
      </extLst>
    </bk>
    <bk>
      <extLst>
        <ext uri="{3e2802c4-a4d2-4d8b-9148-e3be6c30e623}">
          <xlrd:rvb i="557"/>
        </ext>
      </extLst>
    </bk>
    <bk>
      <extLst>
        <ext uri="{3e2802c4-a4d2-4d8b-9148-e3be6c30e623}">
          <xlrd:rvb i="558"/>
        </ext>
      </extLst>
    </bk>
    <bk>
      <extLst>
        <ext uri="{3e2802c4-a4d2-4d8b-9148-e3be6c30e623}">
          <xlrd:rvb i="559"/>
        </ext>
      </extLst>
    </bk>
    <bk>
      <extLst>
        <ext uri="{3e2802c4-a4d2-4d8b-9148-e3be6c30e623}">
          <xlrd:rvb i="560"/>
        </ext>
      </extLst>
    </bk>
    <bk>
      <extLst>
        <ext uri="{3e2802c4-a4d2-4d8b-9148-e3be6c30e623}">
          <xlrd:rvb i="561"/>
        </ext>
      </extLst>
    </bk>
    <bk>
      <extLst>
        <ext uri="{3e2802c4-a4d2-4d8b-9148-e3be6c30e623}">
          <xlrd:rvb i="562"/>
        </ext>
      </extLst>
    </bk>
    <bk>
      <extLst>
        <ext uri="{3e2802c4-a4d2-4d8b-9148-e3be6c30e623}">
          <xlrd:rvb i="563"/>
        </ext>
      </extLst>
    </bk>
    <bk>
      <extLst>
        <ext uri="{3e2802c4-a4d2-4d8b-9148-e3be6c30e623}">
          <xlrd:rvb i="564"/>
        </ext>
      </extLst>
    </bk>
    <bk>
      <extLst>
        <ext uri="{3e2802c4-a4d2-4d8b-9148-e3be6c30e623}">
          <xlrd:rvb i="565"/>
        </ext>
      </extLst>
    </bk>
    <bk>
      <extLst>
        <ext uri="{3e2802c4-a4d2-4d8b-9148-e3be6c30e623}">
          <xlrd:rvb i="566"/>
        </ext>
      </extLst>
    </bk>
    <bk>
      <extLst>
        <ext uri="{3e2802c4-a4d2-4d8b-9148-e3be6c30e623}">
          <xlrd:rvb i="567"/>
        </ext>
      </extLst>
    </bk>
    <bk>
      <extLst>
        <ext uri="{3e2802c4-a4d2-4d8b-9148-e3be6c30e623}">
          <xlrd:rvb i="568"/>
        </ext>
      </extLst>
    </bk>
    <bk>
      <extLst>
        <ext uri="{3e2802c4-a4d2-4d8b-9148-e3be6c30e623}">
          <xlrd:rvb i="569"/>
        </ext>
      </extLst>
    </bk>
    <bk>
      <extLst>
        <ext uri="{3e2802c4-a4d2-4d8b-9148-e3be6c30e623}">
          <xlrd:rvb i="570"/>
        </ext>
      </extLst>
    </bk>
    <bk>
      <extLst>
        <ext uri="{3e2802c4-a4d2-4d8b-9148-e3be6c30e623}">
          <xlrd:rvb i="571"/>
        </ext>
      </extLst>
    </bk>
    <bk>
      <extLst>
        <ext uri="{3e2802c4-a4d2-4d8b-9148-e3be6c30e623}">
          <xlrd:rvb i="572"/>
        </ext>
      </extLst>
    </bk>
    <bk>
      <extLst>
        <ext uri="{3e2802c4-a4d2-4d8b-9148-e3be6c30e623}">
          <xlrd:rvb i="573"/>
        </ext>
      </extLst>
    </bk>
    <bk>
      <extLst>
        <ext uri="{3e2802c4-a4d2-4d8b-9148-e3be6c30e623}">
          <xlrd:rvb i="574"/>
        </ext>
      </extLst>
    </bk>
    <bk>
      <extLst>
        <ext uri="{3e2802c4-a4d2-4d8b-9148-e3be6c30e623}">
          <xlrd:rvb i="575"/>
        </ext>
      </extLst>
    </bk>
    <bk>
      <extLst>
        <ext uri="{3e2802c4-a4d2-4d8b-9148-e3be6c30e623}">
          <xlrd:rvb i="576"/>
        </ext>
      </extLst>
    </bk>
    <bk>
      <extLst>
        <ext uri="{3e2802c4-a4d2-4d8b-9148-e3be6c30e623}">
          <xlrd:rvb i="577"/>
        </ext>
      </extLst>
    </bk>
    <bk>
      <extLst>
        <ext uri="{3e2802c4-a4d2-4d8b-9148-e3be6c30e623}">
          <xlrd:rvb i="578"/>
        </ext>
      </extLst>
    </bk>
    <bk>
      <extLst>
        <ext uri="{3e2802c4-a4d2-4d8b-9148-e3be6c30e623}">
          <xlrd:rvb i="579"/>
        </ext>
      </extLst>
    </bk>
    <bk>
      <extLst>
        <ext uri="{3e2802c4-a4d2-4d8b-9148-e3be6c30e623}">
          <xlrd:rvb i="580"/>
        </ext>
      </extLst>
    </bk>
    <bk>
      <extLst>
        <ext uri="{3e2802c4-a4d2-4d8b-9148-e3be6c30e623}">
          <xlrd:rvb i="581"/>
        </ext>
      </extLst>
    </bk>
    <bk>
      <extLst>
        <ext uri="{3e2802c4-a4d2-4d8b-9148-e3be6c30e623}">
          <xlrd:rvb i="582"/>
        </ext>
      </extLst>
    </bk>
    <bk>
      <extLst>
        <ext uri="{3e2802c4-a4d2-4d8b-9148-e3be6c30e623}">
          <xlrd:rvb i="583"/>
        </ext>
      </extLst>
    </bk>
    <bk>
      <extLst>
        <ext uri="{3e2802c4-a4d2-4d8b-9148-e3be6c30e623}">
          <xlrd:rvb i="584"/>
        </ext>
      </extLst>
    </bk>
    <bk>
      <extLst>
        <ext uri="{3e2802c4-a4d2-4d8b-9148-e3be6c30e623}">
          <xlrd:rvb i="585"/>
        </ext>
      </extLst>
    </bk>
    <bk>
      <extLst>
        <ext uri="{3e2802c4-a4d2-4d8b-9148-e3be6c30e623}">
          <xlrd:rvb i="586"/>
        </ext>
      </extLst>
    </bk>
    <bk>
      <extLst>
        <ext uri="{3e2802c4-a4d2-4d8b-9148-e3be6c30e623}">
          <xlrd:rvb i="587"/>
        </ext>
      </extLst>
    </bk>
    <bk>
      <extLst>
        <ext uri="{3e2802c4-a4d2-4d8b-9148-e3be6c30e623}">
          <xlrd:rvb i="588"/>
        </ext>
      </extLst>
    </bk>
    <bk>
      <extLst>
        <ext uri="{3e2802c4-a4d2-4d8b-9148-e3be6c30e623}">
          <xlrd:rvb i="589"/>
        </ext>
      </extLst>
    </bk>
    <bk>
      <extLst>
        <ext uri="{3e2802c4-a4d2-4d8b-9148-e3be6c30e623}">
          <xlrd:rvb i="590"/>
        </ext>
      </extLst>
    </bk>
    <bk>
      <extLst>
        <ext uri="{3e2802c4-a4d2-4d8b-9148-e3be6c30e623}">
          <xlrd:rvb i="591"/>
        </ext>
      </extLst>
    </bk>
    <bk>
      <extLst>
        <ext uri="{3e2802c4-a4d2-4d8b-9148-e3be6c30e623}">
          <xlrd:rvb i="592"/>
        </ext>
      </extLst>
    </bk>
    <bk>
      <extLst>
        <ext uri="{3e2802c4-a4d2-4d8b-9148-e3be6c30e623}">
          <xlrd:rvb i="593"/>
        </ext>
      </extLst>
    </bk>
    <bk>
      <extLst>
        <ext uri="{3e2802c4-a4d2-4d8b-9148-e3be6c30e623}">
          <xlrd:rvb i="594"/>
        </ext>
      </extLst>
    </bk>
    <bk>
      <extLst>
        <ext uri="{3e2802c4-a4d2-4d8b-9148-e3be6c30e623}">
          <xlrd:rvb i="595"/>
        </ext>
      </extLst>
    </bk>
    <bk>
      <extLst>
        <ext uri="{3e2802c4-a4d2-4d8b-9148-e3be6c30e623}">
          <xlrd:rvb i="596"/>
        </ext>
      </extLst>
    </bk>
    <bk>
      <extLst>
        <ext uri="{3e2802c4-a4d2-4d8b-9148-e3be6c30e623}">
          <xlrd:rvb i="597"/>
        </ext>
      </extLst>
    </bk>
    <bk>
      <extLst>
        <ext uri="{3e2802c4-a4d2-4d8b-9148-e3be6c30e623}">
          <xlrd:rvb i="598"/>
        </ext>
      </extLst>
    </bk>
    <bk>
      <extLst>
        <ext uri="{3e2802c4-a4d2-4d8b-9148-e3be6c30e623}">
          <xlrd:rvb i="599"/>
        </ext>
      </extLst>
    </bk>
    <bk>
      <extLst>
        <ext uri="{3e2802c4-a4d2-4d8b-9148-e3be6c30e623}">
          <xlrd:rvb i="600"/>
        </ext>
      </extLst>
    </bk>
    <bk>
      <extLst>
        <ext uri="{3e2802c4-a4d2-4d8b-9148-e3be6c30e623}">
          <xlrd:rvb i="601"/>
        </ext>
      </extLst>
    </bk>
    <bk>
      <extLst>
        <ext uri="{3e2802c4-a4d2-4d8b-9148-e3be6c30e623}">
          <xlrd:rvb i="602"/>
        </ext>
      </extLst>
    </bk>
    <bk>
      <extLst>
        <ext uri="{3e2802c4-a4d2-4d8b-9148-e3be6c30e623}">
          <xlrd:rvb i="603"/>
        </ext>
      </extLst>
    </bk>
    <bk>
      <extLst>
        <ext uri="{3e2802c4-a4d2-4d8b-9148-e3be6c30e623}">
          <xlrd:rvb i="604"/>
        </ext>
      </extLst>
    </bk>
    <bk>
      <extLst>
        <ext uri="{3e2802c4-a4d2-4d8b-9148-e3be6c30e623}">
          <xlrd:rvb i="605"/>
        </ext>
      </extLst>
    </bk>
    <bk>
      <extLst>
        <ext uri="{3e2802c4-a4d2-4d8b-9148-e3be6c30e623}">
          <xlrd:rvb i="606"/>
        </ext>
      </extLst>
    </bk>
    <bk>
      <extLst>
        <ext uri="{3e2802c4-a4d2-4d8b-9148-e3be6c30e623}">
          <xlrd:rvb i="607"/>
        </ext>
      </extLst>
    </bk>
    <bk>
      <extLst>
        <ext uri="{3e2802c4-a4d2-4d8b-9148-e3be6c30e623}">
          <xlrd:rvb i="608"/>
        </ext>
      </extLst>
    </bk>
    <bk>
      <extLst>
        <ext uri="{3e2802c4-a4d2-4d8b-9148-e3be6c30e623}">
          <xlrd:rvb i="609"/>
        </ext>
      </extLst>
    </bk>
    <bk>
      <extLst>
        <ext uri="{3e2802c4-a4d2-4d8b-9148-e3be6c30e623}">
          <xlrd:rvb i="610"/>
        </ext>
      </extLst>
    </bk>
    <bk>
      <extLst>
        <ext uri="{3e2802c4-a4d2-4d8b-9148-e3be6c30e623}">
          <xlrd:rvb i="611"/>
        </ext>
      </extLst>
    </bk>
    <bk>
      <extLst>
        <ext uri="{3e2802c4-a4d2-4d8b-9148-e3be6c30e623}">
          <xlrd:rvb i="612"/>
        </ext>
      </extLst>
    </bk>
    <bk>
      <extLst>
        <ext uri="{3e2802c4-a4d2-4d8b-9148-e3be6c30e623}">
          <xlrd:rvb i="613"/>
        </ext>
      </extLst>
    </bk>
    <bk>
      <extLst>
        <ext uri="{3e2802c4-a4d2-4d8b-9148-e3be6c30e623}">
          <xlrd:rvb i="614"/>
        </ext>
      </extLst>
    </bk>
    <bk>
      <extLst>
        <ext uri="{3e2802c4-a4d2-4d8b-9148-e3be6c30e623}">
          <xlrd:rvb i="615"/>
        </ext>
      </extLst>
    </bk>
    <bk>
      <extLst>
        <ext uri="{3e2802c4-a4d2-4d8b-9148-e3be6c30e623}">
          <xlrd:rvb i="616"/>
        </ext>
      </extLst>
    </bk>
    <bk>
      <extLst>
        <ext uri="{3e2802c4-a4d2-4d8b-9148-e3be6c30e623}">
          <xlrd:rvb i="617"/>
        </ext>
      </extLst>
    </bk>
    <bk>
      <extLst>
        <ext uri="{3e2802c4-a4d2-4d8b-9148-e3be6c30e623}">
          <xlrd:rvb i="618"/>
        </ext>
      </extLst>
    </bk>
    <bk>
      <extLst>
        <ext uri="{3e2802c4-a4d2-4d8b-9148-e3be6c30e623}">
          <xlrd:rvb i="619"/>
        </ext>
      </extLst>
    </bk>
    <bk>
      <extLst>
        <ext uri="{3e2802c4-a4d2-4d8b-9148-e3be6c30e623}">
          <xlrd:rvb i="620"/>
        </ext>
      </extLst>
    </bk>
    <bk>
      <extLst>
        <ext uri="{3e2802c4-a4d2-4d8b-9148-e3be6c30e623}">
          <xlrd:rvb i="621"/>
        </ext>
      </extLst>
    </bk>
    <bk>
      <extLst>
        <ext uri="{3e2802c4-a4d2-4d8b-9148-e3be6c30e623}">
          <xlrd:rvb i="622"/>
        </ext>
      </extLst>
    </bk>
    <bk>
      <extLst>
        <ext uri="{3e2802c4-a4d2-4d8b-9148-e3be6c30e623}">
          <xlrd:rvb i="623"/>
        </ext>
      </extLst>
    </bk>
    <bk>
      <extLst>
        <ext uri="{3e2802c4-a4d2-4d8b-9148-e3be6c30e623}">
          <xlrd:rvb i="624"/>
        </ext>
      </extLst>
    </bk>
    <bk>
      <extLst>
        <ext uri="{3e2802c4-a4d2-4d8b-9148-e3be6c30e623}">
          <xlrd:rvb i="625"/>
        </ext>
      </extLst>
    </bk>
    <bk>
      <extLst>
        <ext uri="{3e2802c4-a4d2-4d8b-9148-e3be6c30e623}">
          <xlrd:rvb i="626"/>
        </ext>
      </extLst>
    </bk>
    <bk>
      <extLst>
        <ext uri="{3e2802c4-a4d2-4d8b-9148-e3be6c30e623}">
          <xlrd:rvb i="627"/>
        </ext>
      </extLst>
    </bk>
    <bk>
      <extLst>
        <ext uri="{3e2802c4-a4d2-4d8b-9148-e3be6c30e623}">
          <xlrd:rvb i="628"/>
        </ext>
      </extLst>
    </bk>
    <bk>
      <extLst>
        <ext uri="{3e2802c4-a4d2-4d8b-9148-e3be6c30e623}">
          <xlrd:rvb i="629"/>
        </ext>
      </extLst>
    </bk>
    <bk>
      <extLst>
        <ext uri="{3e2802c4-a4d2-4d8b-9148-e3be6c30e623}">
          <xlrd:rvb i="630"/>
        </ext>
      </extLst>
    </bk>
    <bk>
      <extLst>
        <ext uri="{3e2802c4-a4d2-4d8b-9148-e3be6c30e623}">
          <xlrd:rvb i="631"/>
        </ext>
      </extLst>
    </bk>
    <bk>
      <extLst>
        <ext uri="{3e2802c4-a4d2-4d8b-9148-e3be6c30e623}">
          <xlrd:rvb i="632"/>
        </ext>
      </extLst>
    </bk>
    <bk>
      <extLst>
        <ext uri="{3e2802c4-a4d2-4d8b-9148-e3be6c30e623}">
          <xlrd:rvb i="633"/>
        </ext>
      </extLst>
    </bk>
    <bk>
      <extLst>
        <ext uri="{3e2802c4-a4d2-4d8b-9148-e3be6c30e623}">
          <xlrd:rvb i="634"/>
        </ext>
      </extLst>
    </bk>
    <bk>
      <extLst>
        <ext uri="{3e2802c4-a4d2-4d8b-9148-e3be6c30e623}">
          <xlrd:rvb i="635"/>
        </ext>
      </extLst>
    </bk>
    <bk>
      <extLst>
        <ext uri="{3e2802c4-a4d2-4d8b-9148-e3be6c30e623}">
          <xlrd:rvb i="636"/>
        </ext>
      </extLst>
    </bk>
    <bk>
      <extLst>
        <ext uri="{3e2802c4-a4d2-4d8b-9148-e3be6c30e623}">
          <xlrd:rvb i="637"/>
        </ext>
      </extLst>
    </bk>
    <bk>
      <extLst>
        <ext uri="{3e2802c4-a4d2-4d8b-9148-e3be6c30e623}">
          <xlrd:rvb i="638"/>
        </ext>
      </extLst>
    </bk>
    <bk>
      <extLst>
        <ext uri="{3e2802c4-a4d2-4d8b-9148-e3be6c30e623}">
          <xlrd:rvb i="639"/>
        </ext>
      </extLst>
    </bk>
    <bk>
      <extLst>
        <ext uri="{3e2802c4-a4d2-4d8b-9148-e3be6c30e623}">
          <xlrd:rvb i="640"/>
        </ext>
      </extLst>
    </bk>
    <bk>
      <extLst>
        <ext uri="{3e2802c4-a4d2-4d8b-9148-e3be6c30e623}">
          <xlrd:rvb i="641"/>
        </ext>
      </extLst>
    </bk>
    <bk>
      <extLst>
        <ext uri="{3e2802c4-a4d2-4d8b-9148-e3be6c30e623}">
          <xlrd:rvb i="642"/>
        </ext>
      </extLst>
    </bk>
    <bk>
      <extLst>
        <ext uri="{3e2802c4-a4d2-4d8b-9148-e3be6c30e623}">
          <xlrd:rvb i="643"/>
        </ext>
      </extLst>
    </bk>
    <bk>
      <extLst>
        <ext uri="{3e2802c4-a4d2-4d8b-9148-e3be6c30e623}">
          <xlrd:rvb i="644"/>
        </ext>
      </extLst>
    </bk>
    <bk>
      <extLst>
        <ext uri="{3e2802c4-a4d2-4d8b-9148-e3be6c30e623}">
          <xlrd:rvb i="645"/>
        </ext>
      </extLst>
    </bk>
    <bk>
      <extLst>
        <ext uri="{3e2802c4-a4d2-4d8b-9148-e3be6c30e623}">
          <xlrd:rvb i="646"/>
        </ext>
      </extLst>
    </bk>
    <bk>
      <extLst>
        <ext uri="{3e2802c4-a4d2-4d8b-9148-e3be6c30e623}">
          <xlrd:rvb i="647"/>
        </ext>
      </extLst>
    </bk>
    <bk>
      <extLst>
        <ext uri="{3e2802c4-a4d2-4d8b-9148-e3be6c30e623}">
          <xlrd:rvb i="648"/>
        </ext>
      </extLst>
    </bk>
    <bk>
      <extLst>
        <ext uri="{3e2802c4-a4d2-4d8b-9148-e3be6c30e623}">
          <xlrd:rvb i="649"/>
        </ext>
      </extLst>
    </bk>
    <bk>
      <extLst>
        <ext uri="{3e2802c4-a4d2-4d8b-9148-e3be6c30e623}">
          <xlrd:rvb i="650"/>
        </ext>
      </extLst>
    </bk>
    <bk>
      <extLst>
        <ext uri="{3e2802c4-a4d2-4d8b-9148-e3be6c30e623}">
          <xlrd:rvb i="651"/>
        </ext>
      </extLst>
    </bk>
    <bk>
      <extLst>
        <ext uri="{3e2802c4-a4d2-4d8b-9148-e3be6c30e623}">
          <xlrd:rvb i="652"/>
        </ext>
      </extLst>
    </bk>
    <bk>
      <extLst>
        <ext uri="{3e2802c4-a4d2-4d8b-9148-e3be6c30e623}">
          <xlrd:rvb i="653"/>
        </ext>
      </extLst>
    </bk>
    <bk>
      <extLst>
        <ext uri="{3e2802c4-a4d2-4d8b-9148-e3be6c30e623}">
          <xlrd:rvb i="654"/>
        </ext>
      </extLst>
    </bk>
    <bk>
      <extLst>
        <ext uri="{3e2802c4-a4d2-4d8b-9148-e3be6c30e623}">
          <xlrd:rvb i="655"/>
        </ext>
      </extLst>
    </bk>
    <bk>
      <extLst>
        <ext uri="{3e2802c4-a4d2-4d8b-9148-e3be6c30e623}">
          <xlrd:rvb i="656"/>
        </ext>
      </extLst>
    </bk>
    <bk>
      <extLst>
        <ext uri="{3e2802c4-a4d2-4d8b-9148-e3be6c30e623}">
          <xlrd:rvb i="657"/>
        </ext>
      </extLst>
    </bk>
    <bk>
      <extLst>
        <ext uri="{3e2802c4-a4d2-4d8b-9148-e3be6c30e623}">
          <xlrd:rvb i="658"/>
        </ext>
      </extLst>
    </bk>
    <bk>
      <extLst>
        <ext uri="{3e2802c4-a4d2-4d8b-9148-e3be6c30e623}">
          <xlrd:rvb i="659"/>
        </ext>
      </extLst>
    </bk>
    <bk>
      <extLst>
        <ext uri="{3e2802c4-a4d2-4d8b-9148-e3be6c30e623}">
          <xlrd:rvb i="660"/>
        </ext>
      </extLst>
    </bk>
    <bk>
      <extLst>
        <ext uri="{3e2802c4-a4d2-4d8b-9148-e3be6c30e623}">
          <xlrd:rvb i="661"/>
        </ext>
      </extLst>
    </bk>
    <bk>
      <extLst>
        <ext uri="{3e2802c4-a4d2-4d8b-9148-e3be6c30e623}">
          <xlrd:rvb i="662"/>
        </ext>
      </extLst>
    </bk>
    <bk>
      <extLst>
        <ext uri="{3e2802c4-a4d2-4d8b-9148-e3be6c30e623}">
          <xlrd:rvb i="663"/>
        </ext>
      </extLst>
    </bk>
    <bk>
      <extLst>
        <ext uri="{3e2802c4-a4d2-4d8b-9148-e3be6c30e623}">
          <xlrd:rvb i="664"/>
        </ext>
      </extLst>
    </bk>
    <bk>
      <extLst>
        <ext uri="{3e2802c4-a4d2-4d8b-9148-e3be6c30e623}">
          <xlrd:rvb i="665"/>
        </ext>
      </extLst>
    </bk>
    <bk>
      <extLst>
        <ext uri="{3e2802c4-a4d2-4d8b-9148-e3be6c30e623}">
          <xlrd:rvb i="666"/>
        </ext>
      </extLst>
    </bk>
    <bk>
      <extLst>
        <ext uri="{3e2802c4-a4d2-4d8b-9148-e3be6c30e623}">
          <xlrd:rvb i="667"/>
        </ext>
      </extLst>
    </bk>
    <bk>
      <extLst>
        <ext uri="{3e2802c4-a4d2-4d8b-9148-e3be6c30e623}">
          <xlrd:rvb i="668"/>
        </ext>
      </extLst>
    </bk>
    <bk>
      <extLst>
        <ext uri="{3e2802c4-a4d2-4d8b-9148-e3be6c30e623}">
          <xlrd:rvb i="669"/>
        </ext>
      </extLst>
    </bk>
    <bk>
      <extLst>
        <ext uri="{3e2802c4-a4d2-4d8b-9148-e3be6c30e623}">
          <xlrd:rvb i="670"/>
        </ext>
      </extLst>
    </bk>
    <bk>
      <extLst>
        <ext uri="{3e2802c4-a4d2-4d8b-9148-e3be6c30e623}">
          <xlrd:rvb i="671"/>
        </ext>
      </extLst>
    </bk>
    <bk>
      <extLst>
        <ext uri="{3e2802c4-a4d2-4d8b-9148-e3be6c30e623}">
          <xlrd:rvb i="672"/>
        </ext>
      </extLst>
    </bk>
    <bk>
      <extLst>
        <ext uri="{3e2802c4-a4d2-4d8b-9148-e3be6c30e623}">
          <xlrd:rvb i="673"/>
        </ext>
      </extLst>
    </bk>
    <bk>
      <extLst>
        <ext uri="{3e2802c4-a4d2-4d8b-9148-e3be6c30e623}">
          <xlrd:rvb i="674"/>
        </ext>
      </extLst>
    </bk>
    <bk>
      <extLst>
        <ext uri="{3e2802c4-a4d2-4d8b-9148-e3be6c30e623}">
          <xlrd:rvb i="675"/>
        </ext>
      </extLst>
    </bk>
    <bk>
      <extLst>
        <ext uri="{3e2802c4-a4d2-4d8b-9148-e3be6c30e623}">
          <xlrd:rvb i="676"/>
        </ext>
      </extLst>
    </bk>
    <bk>
      <extLst>
        <ext uri="{3e2802c4-a4d2-4d8b-9148-e3be6c30e623}">
          <xlrd:rvb i="677"/>
        </ext>
      </extLst>
    </bk>
    <bk>
      <extLst>
        <ext uri="{3e2802c4-a4d2-4d8b-9148-e3be6c30e623}">
          <xlrd:rvb i="678"/>
        </ext>
      </extLst>
    </bk>
    <bk>
      <extLst>
        <ext uri="{3e2802c4-a4d2-4d8b-9148-e3be6c30e623}">
          <xlrd:rvb i="679"/>
        </ext>
      </extLst>
    </bk>
    <bk>
      <extLst>
        <ext uri="{3e2802c4-a4d2-4d8b-9148-e3be6c30e623}">
          <xlrd:rvb i="680"/>
        </ext>
      </extLst>
    </bk>
    <bk>
      <extLst>
        <ext uri="{3e2802c4-a4d2-4d8b-9148-e3be6c30e623}">
          <xlrd:rvb i="681"/>
        </ext>
      </extLst>
    </bk>
    <bk>
      <extLst>
        <ext uri="{3e2802c4-a4d2-4d8b-9148-e3be6c30e623}">
          <xlrd:rvb i="682"/>
        </ext>
      </extLst>
    </bk>
    <bk>
      <extLst>
        <ext uri="{3e2802c4-a4d2-4d8b-9148-e3be6c30e623}">
          <xlrd:rvb i="683"/>
        </ext>
      </extLst>
    </bk>
    <bk>
      <extLst>
        <ext uri="{3e2802c4-a4d2-4d8b-9148-e3be6c30e623}">
          <xlrd:rvb i="684"/>
        </ext>
      </extLst>
    </bk>
    <bk>
      <extLst>
        <ext uri="{3e2802c4-a4d2-4d8b-9148-e3be6c30e623}">
          <xlrd:rvb i="685"/>
        </ext>
      </extLst>
    </bk>
    <bk>
      <extLst>
        <ext uri="{3e2802c4-a4d2-4d8b-9148-e3be6c30e623}">
          <xlrd:rvb i="686"/>
        </ext>
      </extLst>
    </bk>
    <bk>
      <extLst>
        <ext uri="{3e2802c4-a4d2-4d8b-9148-e3be6c30e623}">
          <xlrd:rvb i="687"/>
        </ext>
      </extLst>
    </bk>
    <bk>
      <extLst>
        <ext uri="{3e2802c4-a4d2-4d8b-9148-e3be6c30e623}">
          <xlrd:rvb i="688"/>
        </ext>
      </extLst>
    </bk>
    <bk>
      <extLst>
        <ext uri="{3e2802c4-a4d2-4d8b-9148-e3be6c30e623}">
          <xlrd:rvb i="689"/>
        </ext>
      </extLst>
    </bk>
    <bk>
      <extLst>
        <ext uri="{3e2802c4-a4d2-4d8b-9148-e3be6c30e623}">
          <xlrd:rvb i="690"/>
        </ext>
      </extLst>
    </bk>
    <bk>
      <extLst>
        <ext uri="{3e2802c4-a4d2-4d8b-9148-e3be6c30e623}">
          <xlrd:rvb i="691"/>
        </ext>
      </extLst>
    </bk>
    <bk>
      <extLst>
        <ext uri="{3e2802c4-a4d2-4d8b-9148-e3be6c30e623}">
          <xlrd:rvb i="692"/>
        </ext>
      </extLst>
    </bk>
    <bk>
      <extLst>
        <ext uri="{3e2802c4-a4d2-4d8b-9148-e3be6c30e623}">
          <xlrd:rvb i="693"/>
        </ext>
      </extLst>
    </bk>
    <bk>
      <extLst>
        <ext uri="{3e2802c4-a4d2-4d8b-9148-e3be6c30e623}">
          <xlrd:rvb i="694"/>
        </ext>
      </extLst>
    </bk>
    <bk>
      <extLst>
        <ext uri="{3e2802c4-a4d2-4d8b-9148-e3be6c30e623}">
          <xlrd:rvb i="695"/>
        </ext>
      </extLst>
    </bk>
    <bk>
      <extLst>
        <ext uri="{3e2802c4-a4d2-4d8b-9148-e3be6c30e623}">
          <xlrd:rvb i="696"/>
        </ext>
      </extLst>
    </bk>
    <bk>
      <extLst>
        <ext uri="{3e2802c4-a4d2-4d8b-9148-e3be6c30e623}">
          <xlrd:rvb i="697"/>
        </ext>
      </extLst>
    </bk>
    <bk>
      <extLst>
        <ext uri="{3e2802c4-a4d2-4d8b-9148-e3be6c30e623}">
          <xlrd:rvb i="698"/>
        </ext>
      </extLst>
    </bk>
    <bk>
      <extLst>
        <ext uri="{3e2802c4-a4d2-4d8b-9148-e3be6c30e623}">
          <xlrd:rvb i="699"/>
        </ext>
      </extLst>
    </bk>
    <bk>
      <extLst>
        <ext uri="{3e2802c4-a4d2-4d8b-9148-e3be6c30e623}">
          <xlrd:rvb i="700"/>
        </ext>
      </extLst>
    </bk>
    <bk>
      <extLst>
        <ext uri="{3e2802c4-a4d2-4d8b-9148-e3be6c30e623}">
          <xlrd:rvb i="701"/>
        </ext>
      </extLst>
    </bk>
    <bk>
      <extLst>
        <ext uri="{3e2802c4-a4d2-4d8b-9148-e3be6c30e623}">
          <xlrd:rvb i="702"/>
        </ext>
      </extLst>
    </bk>
    <bk>
      <extLst>
        <ext uri="{3e2802c4-a4d2-4d8b-9148-e3be6c30e623}">
          <xlrd:rvb i="703"/>
        </ext>
      </extLst>
    </bk>
    <bk>
      <extLst>
        <ext uri="{3e2802c4-a4d2-4d8b-9148-e3be6c30e623}">
          <xlrd:rvb i="704"/>
        </ext>
      </extLst>
    </bk>
    <bk>
      <extLst>
        <ext uri="{3e2802c4-a4d2-4d8b-9148-e3be6c30e623}">
          <xlrd:rvb i="705"/>
        </ext>
      </extLst>
    </bk>
    <bk>
      <extLst>
        <ext uri="{3e2802c4-a4d2-4d8b-9148-e3be6c30e623}">
          <xlrd:rvb i="706"/>
        </ext>
      </extLst>
    </bk>
    <bk>
      <extLst>
        <ext uri="{3e2802c4-a4d2-4d8b-9148-e3be6c30e623}">
          <xlrd:rvb i="707"/>
        </ext>
      </extLst>
    </bk>
    <bk>
      <extLst>
        <ext uri="{3e2802c4-a4d2-4d8b-9148-e3be6c30e623}">
          <xlrd:rvb i="708"/>
        </ext>
      </extLst>
    </bk>
    <bk>
      <extLst>
        <ext uri="{3e2802c4-a4d2-4d8b-9148-e3be6c30e623}">
          <xlrd:rvb i="709"/>
        </ext>
      </extLst>
    </bk>
    <bk>
      <extLst>
        <ext uri="{3e2802c4-a4d2-4d8b-9148-e3be6c30e623}">
          <xlrd:rvb i="710"/>
        </ext>
      </extLst>
    </bk>
    <bk>
      <extLst>
        <ext uri="{3e2802c4-a4d2-4d8b-9148-e3be6c30e623}">
          <xlrd:rvb i="711"/>
        </ext>
      </extLst>
    </bk>
    <bk>
      <extLst>
        <ext uri="{3e2802c4-a4d2-4d8b-9148-e3be6c30e623}">
          <xlrd:rvb i="712"/>
        </ext>
      </extLst>
    </bk>
    <bk>
      <extLst>
        <ext uri="{3e2802c4-a4d2-4d8b-9148-e3be6c30e623}">
          <xlrd:rvb i="713"/>
        </ext>
      </extLst>
    </bk>
    <bk>
      <extLst>
        <ext uri="{3e2802c4-a4d2-4d8b-9148-e3be6c30e623}">
          <xlrd:rvb i="714"/>
        </ext>
      </extLst>
    </bk>
    <bk>
      <extLst>
        <ext uri="{3e2802c4-a4d2-4d8b-9148-e3be6c30e623}">
          <xlrd:rvb i="715"/>
        </ext>
      </extLst>
    </bk>
    <bk>
      <extLst>
        <ext uri="{3e2802c4-a4d2-4d8b-9148-e3be6c30e623}">
          <xlrd:rvb i="716"/>
        </ext>
      </extLst>
    </bk>
    <bk>
      <extLst>
        <ext uri="{3e2802c4-a4d2-4d8b-9148-e3be6c30e623}">
          <xlrd:rvb i="717"/>
        </ext>
      </extLst>
    </bk>
    <bk>
      <extLst>
        <ext uri="{3e2802c4-a4d2-4d8b-9148-e3be6c30e623}">
          <xlrd:rvb i="718"/>
        </ext>
      </extLst>
    </bk>
    <bk>
      <extLst>
        <ext uri="{3e2802c4-a4d2-4d8b-9148-e3be6c30e623}">
          <xlrd:rvb i="719"/>
        </ext>
      </extLst>
    </bk>
    <bk>
      <extLst>
        <ext uri="{3e2802c4-a4d2-4d8b-9148-e3be6c30e623}">
          <xlrd:rvb i="720"/>
        </ext>
      </extLst>
    </bk>
    <bk>
      <extLst>
        <ext uri="{3e2802c4-a4d2-4d8b-9148-e3be6c30e623}">
          <xlrd:rvb i="721"/>
        </ext>
      </extLst>
    </bk>
    <bk>
      <extLst>
        <ext uri="{3e2802c4-a4d2-4d8b-9148-e3be6c30e623}">
          <xlrd:rvb i="722"/>
        </ext>
      </extLst>
    </bk>
    <bk>
      <extLst>
        <ext uri="{3e2802c4-a4d2-4d8b-9148-e3be6c30e623}">
          <xlrd:rvb i="723"/>
        </ext>
      </extLst>
    </bk>
    <bk>
      <extLst>
        <ext uri="{3e2802c4-a4d2-4d8b-9148-e3be6c30e623}">
          <xlrd:rvb i="724"/>
        </ext>
      </extLst>
    </bk>
    <bk>
      <extLst>
        <ext uri="{3e2802c4-a4d2-4d8b-9148-e3be6c30e623}">
          <xlrd:rvb i="725"/>
        </ext>
      </extLst>
    </bk>
    <bk>
      <extLst>
        <ext uri="{3e2802c4-a4d2-4d8b-9148-e3be6c30e623}">
          <xlrd:rvb i="726"/>
        </ext>
      </extLst>
    </bk>
    <bk>
      <extLst>
        <ext uri="{3e2802c4-a4d2-4d8b-9148-e3be6c30e623}">
          <xlrd:rvb i="727"/>
        </ext>
      </extLst>
    </bk>
    <bk>
      <extLst>
        <ext uri="{3e2802c4-a4d2-4d8b-9148-e3be6c30e623}">
          <xlrd:rvb i="728"/>
        </ext>
      </extLst>
    </bk>
    <bk>
      <extLst>
        <ext uri="{3e2802c4-a4d2-4d8b-9148-e3be6c30e623}">
          <xlrd:rvb i="729"/>
        </ext>
      </extLst>
    </bk>
    <bk>
      <extLst>
        <ext uri="{3e2802c4-a4d2-4d8b-9148-e3be6c30e623}">
          <xlrd:rvb i="730"/>
        </ext>
      </extLst>
    </bk>
    <bk>
      <extLst>
        <ext uri="{3e2802c4-a4d2-4d8b-9148-e3be6c30e623}">
          <xlrd:rvb i="731"/>
        </ext>
      </extLst>
    </bk>
    <bk>
      <extLst>
        <ext uri="{3e2802c4-a4d2-4d8b-9148-e3be6c30e623}">
          <xlrd:rvb i="732"/>
        </ext>
      </extLst>
    </bk>
    <bk>
      <extLst>
        <ext uri="{3e2802c4-a4d2-4d8b-9148-e3be6c30e623}">
          <xlrd:rvb i="733"/>
        </ext>
      </extLst>
    </bk>
    <bk>
      <extLst>
        <ext uri="{3e2802c4-a4d2-4d8b-9148-e3be6c30e623}">
          <xlrd:rvb i="734"/>
        </ext>
      </extLst>
    </bk>
    <bk>
      <extLst>
        <ext uri="{3e2802c4-a4d2-4d8b-9148-e3be6c30e623}">
          <xlrd:rvb i="735"/>
        </ext>
      </extLst>
    </bk>
    <bk>
      <extLst>
        <ext uri="{3e2802c4-a4d2-4d8b-9148-e3be6c30e623}">
          <xlrd:rvb i="736"/>
        </ext>
      </extLst>
    </bk>
    <bk>
      <extLst>
        <ext uri="{3e2802c4-a4d2-4d8b-9148-e3be6c30e623}">
          <xlrd:rvb i="737"/>
        </ext>
      </extLst>
    </bk>
    <bk>
      <extLst>
        <ext uri="{3e2802c4-a4d2-4d8b-9148-e3be6c30e623}">
          <xlrd:rvb i="738"/>
        </ext>
      </extLst>
    </bk>
    <bk>
      <extLst>
        <ext uri="{3e2802c4-a4d2-4d8b-9148-e3be6c30e623}">
          <xlrd:rvb i="739"/>
        </ext>
      </extLst>
    </bk>
    <bk>
      <extLst>
        <ext uri="{3e2802c4-a4d2-4d8b-9148-e3be6c30e623}">
          <xlrd:rvb i="740"/>
        </ext>
      </extLst>
    </bk>
    <bk>
      <extLst>
        <ext uri="{3e2802c4-a4d2-4d8b-9148-e3be6c30e623}">
          <xlrd:rvb i="741"/>
        </ext>
      </extLst>
    </bk>
    <bk>
      <extLst>
        <ext uri="{3e2802c4-a4d2-4d8b-9148-e3be6c30e623}">
          <xlrd:rvb i="742"/>
        </ext>
      </extLst>
    </bk>
    <bk>
      <extLst>
        <ext uri="{3e2802c4-a4d2-4d8b-9148-e3be6c30e623}">
          <xlrd:rvb i="743"/>
        </ext>
      </extLst>
    </bk>
    <bk>
      <extLst>
        <ext uri="{3e2802c4-a4d2-4d8b-9148-e3be6c30e623}">
          <xlrd:rvb i="744"/>
        </ext>
      </extLst>
    </bk>
    <bk>
      <extLst>
        <ext uri="{3e2802c4-a4d2-4d8b-9148-e3be6c30e623}">
          <xlrd:rvb i="745"/>
        </ext>
      </extLst>
    </bk>
    <bk>
      <extLst>
        <ext uri="{3e2802c4-a4d2-4d8b-9148-e3be6c30e623}">
          <xlrd:rvb i="746"/>
        </ext>
      </extLst>
    </bk>
    <bk>
      <extLst>
        <ext uri="{3e2802c4-a4d2-4d8b-9148-e3be6c30e623}">
          <xlrd:rvb i="747"/>
        </ext>
      </extLst>
    </bk>
    <bk>
      <extLst>
        <ext uri="{3e2802c4-a4d2-4d8b-9148-e3be6c30e623}">
          <xlrd:rvb i="748"/>
        </ext>
      </extLst>
    </bk>
    <bk>
      <extLst>
        <ext uri="{3e2802c4-a4d2-4d8b-9148-e3be6c30e623}">
          <xlrd:rvb i="749"/>
        </ext>
      </extLst>
    </bk>
    <bk>
      <extLst>
        <ext uri="{3e2802c4-a4d2-4d8b-9148-e3be6c30e623}">
          <xlrd:rvb i="750"/>
        </ext>
      </extLst>
    </bk>
    <bk>
      <extLst>
        <ext uri="{3e2802c4-a4d2-4d8b-9148-e3be6c30e623}">
          <xlrd:rvb i="751"/>
        </ext>
      </extLst>
    </bk>
    <bk>
      <extLst>
        <ext uri="{3e2802c4-a4d2-4d8b-9148-e3be6c30e623}">
          <xlrd:rvb i="752"/>
        </ext>
      </extLst>
    </bk>
    <bk>
      <extLst>
        <ext uri="{3e2802c4-a4d2-4d8b-9148-e3be6c30e623}">
          <xlrd:rvb i="753"/>
        </ext>
      </extLst>
    </bk>
    <bk>
      <extLst>
        <ext uri="{3e2802c4-a4d2-4d8b-9148-e3be6c30e623}">
          <xlrd:rvb i="754"/>
        </ext>
      </extLst>
    </bk>
    <bk>
      <extLst>
        <ext uri="{3e2802c4-a4d2-4d8b-9148-e3be6c30e623}">
          <xlrd:rvb i="755"/>
        </ext>
      </extLst>
    </bk>
    <bk>
      <extLst>
        <ext uri="{3e2802c4-a4d2-4d8b-9148-e3be6c30e623}">
          <xlrd:rvb i="756"/>
        </ext>
      </extLst>
    </bk>
    <bk>
      <extLst>
        <ext uri="{3e2802c4-a4d2-4d8b-9148-e3be6c30e623}">
          <xlrd:rvb i="757"/>
        </ext>
      </extLst>
    </bk>
    <bk>
      <extLst>
        <ext uri="{3e2802c4-a4d2-4d8b-9148-e3be6c30e623}">
          <xlrd:rvb i="758"/>
        </ext>
      </extLst>
    </bk>
    <bk>
      <extLst>
        <ext uri="{3e2802c4-a4d2-4d8b-9148-e3be6c30e623}">
          <xlrd:rvb i="759"/>
        </ext>
      </extLst>
    </bk>
    <bk>
      <extLst>
        <ext uri="{3e2802c4-a4d2-4d8b-9148-e3be6c30e623}">
          <xlrd:rvb i="760"/>
        </ext>
      </extLst>
    </bk>
    <bk>
      <extLst>
        <ext uri="{3e2802c4-a4d2-4d8b-9148-e3be6c30e623}">
          <xlrd:rvb i="761"/>
        </ext>
      </extLst>
    </bk>
    <bk>
      <extLst>
        <ext uri="{3e2802c4-a4d2-4d8b-9148-e3be6c30e623}">
          <xlrd:rvb i="762"/>
        </ext>
      </extLst>
    </bk>
    <bk>
      <extLst>
        <ext uri="{3e2802c4-a4d2-4d8b-9148-e3be6c30e623}">
          <xlrd:rvb i="763"/>
        </ext>
      </extLst>
    </bk>
    <bk>
      <extLst>
        <ext uri="{3e2802c4-a4d2-4d8b-9148-e3be6c30e623}">
          <xlrd:rvb i="764"/>
        </ext>
      </extLst>
    </bk>
    <bk>
      <extLst>
        <ext uri="{3e2802c4-a4d2-4d8b-9148-e3be6c30e623}">
          <xlrd:rvb i="765"/>
        </ext>
      </extLst>
    </bk>
    <bk>
      <extLst>
        <ext uri="{3e2802c4-a4d2-4d8b-9148-e3be6c30e623}">
          <xlrd:rvb i="766"/>
        </ext>
      </extLst>
    </bk>
    <bk>
      <extLst>
        <ext uri="{3e2802c4-a4d2-4d8b-9148-e3be6c30e623}">
          <xlrd:rvb i="767"/>
        </ext>
      </extLst>
    </bk>
    <bk>
      <extLst>
        <ext uri="{3e2802c4-a4d2-4d8b-9148-e3be6c30e623}">
          <xlrd:rvb i="768"/>
        </ext>
      </extLst>
    </bk>
    <bk>
      <extLst>
        <ext uri="{3e2802c4-a4d2-4d8b-9148-e3be6c30e623}">
          <xlrd:rvb i="769"/>
        </ext>
      </extLst>
    </bk>
    <bk>
      <extLst>
        <ext uri="{3e2802c4-a4d2-4d8b-9148-e3be6c30e623}">
          <xlrd:rvb i="770"/>
        </ext>
      </extLst>
    </bk>
    <bk>
      <extLst>
        <ext uri="{3e2802c4-a4d2-4d8b-9148-e3be6c30e623}">
          <xlrd:rvb i="771"/>
        </ext>
      </extLst>
    </bk>
    <bk>
      <extLst>
        <ext uri="{3e2802c4-a4d2-4d8b-9148-e3be6c30e623}">
          <xlrd:rvb i="772"/>
        </ext>
      </extLst>
    </bk>
    <bk>
      <extLst>
        <ext uri="{3e2802c4-a4d2-4d8b-9148-e3be6c30e623}">
          <xlrd:rvb i="773"/>
        </ext>
      </extLst>
    </bk>
    <bk>
      <extLst>
        <ext uri="{3e2802c4-a4d2-4d8b-9148-e3be6c30e623}">
          <xlrd:rvb i="774"/>
        </ext>
      </extLst>
    </bk>
    <bk>
      <extLst>
        <ext uri="{3e2802c4-a4d2-4d8b-9148-e3be6c30e623}">
          <xlrd:rvb i="775"/>
        </ext>
      </extLst>
    </bk>
    <bk>
      <extLst>
        <ext uri="{3e2802c4-a4d2-4d8b-9148-e3be6c30e623}">
          <xlrd:rvb i="776"/>
        </ext>
      </extLst>
    </bk>
    <bk>
      <extLst>
        <ext uri="{3e2802c4-a4d2-4d8b-9148-e3be6c30e623}">
          <xlrd:rvb i="777"/>
        </ext>
      </extLst>
    </bk>
    <bk>
      <extLst>
        <ext uri="{3e2802c4-a4d2-4d8b-9148-e3be6c30e623}">
          <xlrd:rvb i="778"/>
        </ext>
      </extLst>
    </bk>
    <bk>
      <extLst>
        <ext uri="{3e2802c4-a4d2-4d8b-9148-e3be6c30e623}">
          <xlrd:rvb i="779"/>
        </ext>
      </extLst>
    </bk>
    <bk>
      <extLst>
        <ext uri="{3e2802c4-a4d2-4d8b-9148-e3be6c30e623}">
          <xlrd:rvb i="780"/>
        </ext>
      </extLst>
    </bk>
    <bk>
      <extLst>
        <ext uri="{3e2802c4-a4d2-4d8b-9148-e3be6c30e623}">
          <xlrd:rvb i="781"/>
        </ext>
      </extLst>
    </bk>
    <bk>
      <extLst>
        <ext uri="{3e2802c4-a4d2-4d8b-9148-e3be6c30e623}">
          <xlrd:rvb i="782"/>
        </ext>
      </extLst>
    </bk>
    <bk>
      <extLst>
        <ext uri="{3e2802c4-a4d2-4d8b-9148-e3be6c30e623}">
          <xlrd:rvb i="783"/>
        </ext>
      </extLst>
    </bk>
    <bk>
      <extLst>
        <ext uri="{3e2802c4-a4d2-4d8b-9148-e3be6c30e623}">
          <xlrd:rvb i="784"/>
        </ext>
      </extLst>
    </bk>
    <bk>
      <extLst>
        <ext uri="{3e2802c4-a4d2-4d8b-9148-e3be6c30e623}">
          <xlrd:rvb i="785"/>
        </ext>
      </extLst>
    </bk>
    <bk>
      <extLst>
        <ext uri="{3e2802c4-a4d2-4d8b-9148-e3be6c30e623}">
          <xlrd:rvb i="786"/>
        </ext>
      </extLst>
    </bk>
    <bk>
      <extLst>
        <ext uri="{3e2802c4-a4d2-4d8b-9148-e3be6c30e623}">
          <xlrd:rvb i="787"/>
        </ext>
      </extLst>
    </bk>
    <bk>
      <extLst>
        <ext uri="{3e2802c4-a4d2-4d8b-9148-e3be6c30e623}">
          <xlrd:rvb i="788"/>
        </ext>
      </extLst>
    </bk>
    <bk>
      <extLst>
        <ext uri="{3e2802c4-a4d2-4d8b-9148-e3be6c30e623}">
          <xlrd:rvb i="789"/>
        </ext>
      </extLst>
    </bk>
    <bk>
      <extLst>
        <ext uri="{3e2802c4-a4d2-4d8b-9148-e3be6c30e623}">
          <xlrd:rvb i="790"/>
        </ext>
      </extLst>
    </bk>
    <bk>
      <extLst>
        <ext uri="{3e2802c4-a4d2-4d8b-9148-e3be6c30e623}">
          <xlrd:rvb i="791"/>
        </ext>
      </extLst>
    </bk>
    <bk>
      <extLst>
        <ext uri="{3e2802c4-a4d2-4d8b-9148-e3be6c30e623}">
          <xlrd:rvb i="792"/>
        </ext>
      </extLst>
    </bk>
    <bk>
      <extLst>
        <ext uri="{3e2802c4-a4d2-4d8b-9148-e3be6c30e623}">
          <xlrd:rvb i="793"/>
        </ext>
      </extLst>
    </bk>
    <bk>
      <extLst>
        <ext uri="{3e2802c4-a4d2-4d8b-9148-e3be6c30e623}">
          <xlrd:rvb i="794"/>
        </ext>
      </extLst>
    </bk>
    <bk>
      <extLst>
        <ext uri="{3e2802c4-a4d2-4d8b-9148-e3be6c30e623}">
          <xlrd:rvb i="795"/>
        </ext>
      </extLst>
    </bk>
    <bk>
      <extLst>
        <ext uri="{3e2802c4-a4d2-4d8b-9148-e3be6c30e623}">
          <xlrd:rvb i="796"/>
        </ext>
      </extLst>
    </bk>
    <bk>
      <extLst>
        <ext uri="{3e2802c4-a4d2-4d8b-9148-e3be6c30e623}">
          <xlrd:rvb i="797"/>
        </ext>
      </extLst>
    </bk>
    <bk>
      <extLst>
        <ext uri="{3e2802c4-a4d2-4d8b-9148-e3be6c30e623}">
          <xlrd:rvb i="798"/>
        </ext>
      </extLst>
    </bk>
    <bk>
      <extLst>
        <ext uri="{3e2802c4-a4d2-4d8b-9148-e3be6c30e623}">
          <xlrd:rvb i="799"/>
        </ext>
      </extLst>
    </bk>
    <bk>
      <extLst>
        <ext uri="{3e2802c4-a4d2-4d8b-9148-e3be6c30e623}">
          <xlrd:rvb i="800"/>
        </ext>
      </extLst>
    </bk>
    <bk>
      <extLst>
        <ext uri="{3e2802c4-a4d2-4d8b-9148-e3be6c30e623}">
          <xlrd:rvb i="801"/>
        </ext>
      </extLst>
    </bk>
    <bk>
      <extLst>
        <ext uri="{3e2802c4-a4d2-4d8b-9148-e3be6c30e623}">
          <xlrd:rvb i="802"/>
        </ext>
      </extLst>
    </bk>
    <bk>
      <extLst>
        <ext uri="{3e2802c4-a4d2-4d8b-9148-e3be6c30e623}">
          <xlrd:rvb i="803"/>
        </ext>
      </extLst>
    </bk>
    <bk>
      <extLst>
        <ext uri="{3e2802c4-a4d2-4d8b-9148-e3be6c30e623}">
          <xlrd:rvb i="804"/>
        </ext>
      </extLst>
    </bk>
    <bk>
      <extLst>
        <ext uri="{3e2802c4-a4d2-4d8b-9148-e3be6c30e623}">
          <xlrd:rvb i="805"/>
        </ext>
      </extLst>
    </bk>
    <bk>
      <extLst>
        <ext uri="{3e2802c4-a4d2-4d8b-9148-e3be6c30e623}">
          <xlrd:rvb i="806"/>
        </ext>
      </extLst>
    </bk>
    <bk>
      <extLst>
        <ext uri="{3e2802c4-a4d2-4d8b-9148-e3be6c30e623}">
          <xlrd:rvb i="807"/>
        </ext>
      </extLst>
    </bk>
    <bk>
      <extLst>
        <ext uri="{3e2802c4-a4d2-4d8b-9148-e3be6c30e623}">
          <xlrd:rvb i="808"/>
        </ext>
      </extLst>
    </bk>
    <bk>
      <extLst>
        <ext uri="{3e2802c4-a4d2-4d8b-9148-e3be6c30e623}">
          <xlrd:rvb i="809"/>
        </ext>
      </extLst>
    </bk>
    <bk>
      <extLst>
        <ext uri="{3e2802c4-a4d2-4d8b-9148-e3be6c30e623}">
          <xlrd:rvb i="810"/>
        </ext>
      </extLst>
    </bk>
    <bk>
      <extLst>
        <ext uri="{3e2802c4-a4d2-4d8b-9148-e3be6c30e623}">
          <xlrd:rvb i="811"/>
        </ext>
      </extLst>
    </bk>
    <bk>
      <extLst>
        <ext uri="{3e2802c4-a4d2-4d8b-9148-e3be6c30e623}">
          <xlrd:rvb i="812"/>
        </ext>
      </extLst>
    </bk>
    <bk>
      <extLst>
        <ext uri="{3e2802c4-a4d2-4d8b-9148-e3be6c30e623}">
          <xlrd:rvb i="813"/>
        </ext>
      </extLst>
    </bk>
    <bk>
      <extLst>
        <ext uri="{3e2802c4-a4d2-4d8b-9148-e3be6c30e623}">
          <xlrd:rvb i="814"/>
        </ext>
      </extLst>
    </bk>
    <bk>
      <extLst>
        <ext uri="{3e2802c4-a4d2-4d8b-9148-e3be6c30e623}">
          <xlrd:rvb i="815"/>
        </ext>
      </extLst>
    </bk>
    <bk>
      <extLst>
        <ext uri="{3e2802c4-a4d2-4d8b-9148-e3be6c30e623}">
          <xlrd:rvb i="816"/>
        </ext>
      </extLst>
    </bk>
    <bk>
      <extLst>
        <ext uri="{3e2802c4-a4d2-4d8b-9148-e3be6c30e623}">
          <xlrd:rvb i="817"/>
        </ext>
      </extLst>
    </bk>
    <bk>
      <extLst>
        <ext uri="{3e2802c4-a4d2-4d8b-9148-e3be6c30e623}">
          <xlrd:rvb i="818"/>
        </ext>
      </extLst>
    </bk>
    <bk>
      <extLst>
        <ext uri="{3e2802c4-a4d2-4d8b-9148-e3be6c30e623}">
          <xlrd:rvb i="819"/>
        </ext>
      </extLst>
    </bk>
    <bk>
      <extLst>
        <ext uri="{3e2802c4-a4d2-4d8b-9148-e3be6c30e623}">
          <xlrd:rvb i="820"/>
        </ext>
      </extLst>
    </bk>
    <bk>
      <extLst>
        <ext uri="{3e2802c4-a4d2-4d8b-9148-e3be6c30e623}">
          <xlrd:rvb i="821"/>
        </ext>
      </extLst>
    </bk>
    <bk>
      <extLst>
        <ext uri="{3e2802c4-a4d2-4d8b-9148-e3be6c30e623}">
          <xlrd:rvb i="822"/>
        </ext>
      </extLst>
    </bk>
    <bk>
      <extLst>
        <ext uri="{3e2802c4-a4d2-4d8b-9148-e3be6c30e623}">
          <xlrd:rvb i="823"/>
        </ext>
      </extLst>
    </bk>
    <bk>
      <extLst>
        <ext uri="{3e2802c4-a4d2-4d8b-9148-e3be6c30e623}">
          <xlrd:rvb i="824"/>
        </ext>
      </extLst>
    </bk>
    <bk>
      <extLst>
        <ext uri="{3e2802c4-a4d2-4d8b-9148-e3be6c30e623}">
          <xlrd:rvb i="825"/>
        </ext>
      </extLst>
    </bk>
    <bk>
      <extLst>
        <ext uri="{3e2802c4-a4d2-4d8b-9148-e3be6c30e623}">
          <xlrd:rvb i="826"/>
        </ext>
      </extLst>
    </bk>
    <bk>
      <extLst>
        <ext uri="{3e2802c4-a4d2-4d8b-9148-e3be6c30e623}">
          <xlrd:rvb i="827"/>
        </ext>
      </extLst>
    </bk>
    <bk>
      <extLst>
        <ext uri="{3e2802c4-a4d2-4d8b-9148-e3be6c30e623}">
          <xlrd:rvb i="828"/>
        </ext>
      </extLst>
    </bk>
    <bk>
      <extLst>
        <ext uri="{3e2802c4-a4d2-4d8b-9148-e3be6c30e623}">
          <xlrd:rvb i="829"/>
        </ext>
      </extLst>
    </bk>
    <bk>
      <extLst>
        <ext uri="{3e2802c4-a4d2-4d8b-9148-e3be6c30e623}">
          <xlrd:rvb i="830"/>
        </ext>
      </extLst>
    </bk>
    <bk>
      <extLst>
        <ext uri="{3e2802c4-a4d2-4d8b-9148-e3be6c30e623}">
          <xlrd:rvb i="831"/>
        </ext>
      </extLst>
    </bk>
    <bk>
      <extLst>
        <ext uri="{3e2802c4-a4d2-4d8b-9148-e3be6c30e623}">
          <xlrd:rvb i="832"/>
        </ext>
      </extLst>
    </bk>
    <bk>
      <extLst>
        <ext uri="{3e2802c4-a4d2-4d8b-9148-e3be6c30e623}">
          <xlrd:rvb i="833"/>
        </ext>
      </extLst>
    </bk>
    <bk>
      <extLst>
        <ext uri="{3e2802c4-a4d2-4d8b-9148-e3be6c30e623}">
          <xlrd:rvb i="834"/>
        </ext>
      </extLst>
    </bk>
    <bk>
      <extLst>
        <ext uri="{3e2802c4-a4d2-4d8b-9148-e3be6c30e623}">
          <xlrd:rvb i="835"/>
        </ext>
      </extLst>
    </bk>
    <bk>
      <extLst>
        <ext uri="{3e2802c4-a4d2-4d8b-9148-e3be6c30e623}">
          <xlrd:rvb i="836"/>
        </ext>
      </extLst>
    </bk>
    <bk>
      <extLst>
        <ext uri="{3e2802c4-a4d2-4d8b-9148-e3be6c30e623}">
          <xlrd:rvb i="837"/>
        </ext>
      </extLst>
    </bk>
    <bk>
      <extLst>
        <ext uri="{3e2802c4-a4d2-4d8b-9148-e3be6c30e623}">
          <xlrd:rvb i="838"/>
        </ext>
      </extLst>
    </bk>
    <bk>
      <extLst>
        <ext uri="{3e2802c4-a4d2-4d8b-9148-e3be6c30e623}">
          <xlrd:rvb i="839"/>
        </ext>
      </extLst>
    </bk>
    <bk>
      <extLst>
        <ext uri="{3e2802c4-a4d2-4d8b-9148-e3be6c30e623}">
          <xlrd:rvb i="840"/>
        </ext>
      </extLst>
    </bk>
    <bk>
      <extLst>
        <ext uri="{3e2802c4-a4d2-4d8b-9148-e3be6c30e623}">
          <xlrd:rvb i="841"/>
        </ext>
      </extLst>
    </bk>
    <bk>
      <extLst>
        <ext uri="{3e2802c4-a4d2-4d8b-9148-e3be6c30e623}">
          <xlrd:rvb i="842"/>
        </ext>
      </extLst>
    </bk>
    <bk>
      <extLst>
        <ext uri="{3e2802c4-a4d2-4d8b-9148-e3be6c30e623}">
          <xlrd:rvb i="843"/>
        </ext>
      </extLst>
    </bk>
    <bk>
      <extLst>
        <ext uri="{3e2802c4-a4d2-4d8b-9148-e3be6c30e623}">
          <xlrd:rvb i="844"/>
        </ext>
      </extLst>
    </bk>
    <bk>
      <extLst>
        <ext uri="{3e2802c4-a4d2-4d8b-9148-e3be6c30e623}">
          <xlrd:rvb i="845"/>
        </ext>
      </extLst>
    </bk>
    <bk>
      <extLst>
        <ext uri="{3e2802c4-a4d2-4d8b-9148-e3be6c30e623}">
          <xlrd:rvb i="846"/>
        </ext>
      </extLst>
    </bk>
    <bk>
      <extLst>
        <ext uri="{3e2802c4-a4d2-4d8b-9148-e3be6c30e623}">
          <xlrd:rvb i="847"/>
        </ext>
      </extLst>
    </bk>
    <bk>
      <extLst>
        <ext uri="{3e2802c4-a4d2-4d8b-9148-e3be6c30e623}">
          <xlrd:rvb i="848"/>
        </ext>
      </extLst>
    </bk>
    <bk>
      <extLst>
        <ext uri="{3e2802c4-a4d2-4d8b-9148-e3be6c30e623}">
          <xlrd:rvb i="849"/>
        </ext>
      </extLst>
    </bk>
    <bk>
      <extLst>
        <ext uri="{3e2802c4-a4d2-4d8b-9148-e3be6c30e623}">
          <xlrd:rvb i="850"/>
        </ext>
      </extLst>
    </bk>
    <bk>
      <extLst>
        <ext uri="{3e2802c4-a4d2-4d8b-9148-e3be6c30e623}">
          <xlrd:rvb i="851"/>
        </ext>
      </extLst>
    </bk>
    <bk>
      <extLst>
        <ext uri="{3e2802c4-a4d2-4d8b-9148-e3be6c30e623}">
          <xlrd:rvb i="852"/>
        </ext>
      </extLst>
    </bk>
    <bk>
      <extLst>
        <ext uri="{3e2802c4-a4d2-4d8b-9148-e3be6c30e623}">
          <xlrd:rvb i="853"/>
        </ext>
      </extLst>
    </bk>
    <bk>
      <extLst>
        <ext uri="{3e2802c4-a4d2-4d8b-9148-e3be6c30e623}">
          <xlrd:rvb i="854"/>
        </ext>
      </extLst>
    </bk>
    <bk>
      <extLst>
        <ext uri="{3e2802c4-a4d2-4d8b-9148-e3be6c30e623}">
          <xlrd:rvb i="855"/>
        </ext>
      </extLst>
    </bk>
    <bk>
      <extLst>
        <ext uri="{3e2802c4-a4d2-4d8b-9148-e3be6c30e623}">
          <xlrd:rvb i="856"/>
        </ext>
      </extLst>
    </bk>
    <bk>
      <extLst>
        <ext uri="{3e2802c4-a4d2-4d8b-9148-e3be6c30e623}">
          <xlrd:rvb i="857"/>
        </ext>
      </extLst>
    </bk>
    <bk>
      <extLst>
        <ext uri="{3e2802c4-a4d2-4d8b-9148-e3be6c30e623}">
          <xlrd:rvb i="858"/>
        </ext>
      </extLst>
    </bk>
    <bk>
      <extLst>
        <ext uri="{3e2802c4-a4d2-4d8b-9148-e3be6c30e623}">
          <xlrd:rvb i="859"/>
        </ext>
      </extLst>
    </bk>
    <bk>
      <extLst>
        <ext uri="{3e2802c4-a4d2-4d8b-9148-e3be6c30e623}">
          <xlrd:rvb i="860"/>
        </ext>
      </extLst>
    </bk>
    <bk>
      <extLst>
        <ext uri="{3e2802c4-a4d2-4d8b-9148-e3be6c30e623}">
          <xlrd:rvb i="861"/>
        </ext>
      </extLst>
    </bk>
    <bk>
      <extLst>
        <ext uri="{3e2802c4-a4d2-4d8b-9148-e3be6c30e623}">
          <xlrd:rvb i="862"/>
        </ext>
      </extLst>
    </bk>
    <bk>
      <extLst>
        <ext uri="{3e2802c4-a4d2-4d8b-9148-e3be6c30e623}">
          <xlrd:rvb i="863"/>
        </ext>
      </extLst>
    </bk>
    <bk>
      <extLst>
        <ext uri="{3e2802c4-a4d2-4d8b-9148-e3be6c30e623}">
          <xlrd:rvb i="864"/>
        </ext>
      </extLst>
    </bk>
    <bk>
      <extLst>
        <ext uri="{3e2802c4-a4d2-4d8b-9148-e3be6c30e623}">
          <xlrd:rvb i="865"/>
        </ext>
      </extLst>
    </bk>
    <bk>
      <extLst>
        <ext uri="{3e2802c4-a4d2-4d8b-9148-e3be6c30e623}">
          <xlrd:rvb i="866"/>
        </ext>
      </extLst>
    </bk>
    <bk>
      <extLst>
        <ext uri="{3e2802c4-a4d2-4d8b-9148-e3be6c30e623}">
          <xlrd:rvb i="867"/>
        </ext>
      </extLst>
    </bk>
    <bk>
      <extLst>
        <ext uri="{3e2802c4-a4d2-4d8b-9148-e3be6c30e623}">
          <xlrd:rvb i="868"/>
        </ext>
      </extLst>
    </bk>
    <bk>
      <extLst>
        <ext uri="{3e2802c4-a4d2-4d8b-9148-e3be6c30e623}">
          <xlrd:rvb i="869"/>
        </ext>
      </extLst>
    </bk>
    <bk>
      <extLst>
        <ext uri="{3e2802c4-a4d2-4d8b-9148-e3be6c30e623}">
          <xlrd:rvb i="870"/>
        </ext>
      </extLst>
    </bk>
    <bk>
      <extLst>
        <ext uri="{3e2802c4-a4d2-4d8b-9148-e3be6c30e623}">
          <xlrd:rvb i="871"/>
        </ext>
      </extLst>
    </bk>
    <bk>
      <extLst>
        <ext uri="{3e2802c4-a4d2-4d8b-9148-e3be6c30e623}">
          <xlrd:rvb i="872"/>
        </ext>
      </extLst>
    </bk>
    <bk>
      <extLst>
        <ext uri="{3e2802c4-a4d2-4d8b-9148-e3be6c30e623}">
          <xlrd:rvb i="873"/>
        </ext>
      </extLst>
    </bk>
    <bk>
      <extLst>
        <ext uri="{3e2802c4-a4d2-4d8b-9148-e3be6c30e623}">
          <xlrd:rvb i="874"/>
        </ext>
      </extLst>
    </bk>
    <bk>
      <extLst>
        <ext uri="{3e2802c4-a4d2-4d8b-9148-e3be6c30e623}">
          <xlrd:rvb i="875"/>
        </ext>
      </extLst>
    </bk>
    <bk>
      <extLst>
        <ext uri="{3e2802c4-a4d2-4d8b-9148-e3be6c30e623}">
          <xlrd:rvb i="876"/>
        </ext>
      </extLst>
    </bk>
    <bk>
      <extLst>
        <ext uri="{3e2802c4-a4d2-4d8b-9148-e3be6c30e623}">
          <xlrd:rvb i="877"/>
        </ext>
      </extLst>
    </bk>
    <bk>
      <extLst>
        <ext uri="{3e2802c4-a4d2-4d8b-9148-e3be6c30e623}">
          <xlrd:rvb i="878"/>
        </ext>
      </extLst>
    </bk>
    <bk>
      <extLst>
        <ext uri="{3e2802c4-a4d2-4d8b-9148-e3be6c30e623}">
          <xlrd:rvb i="879"/>
        </ext>
      </extLst>
    </bk>
    <bk>
      <extLst>
        <ext uri="{3e2802c4-a4d2-4d8b-9148-e3be6c30e623}">
          <xlrd:rvb i="880"/>
        </ext>
      </extLst>
    </bk>
    <bk>
      <extLst>
        <ext uri="{3e2802c4-a4d2-4d8b-9148-e3be6c30e623}">
          <xlrd:rvb i="881"/>
        </ext>
      </extLst>
    </bk>
    <bk>
      <extLst>
        <ext uri="{3e2802c4-a4d2-4d8b-9148-e3be6c30e623}">
          <xlrd:rvb i="882"/>
        </ext>
      </extLst>
    </bk>
    <bk>
      <extLst>
        <ext uri="{3e2802c4-a4d2-4d8b-9148-e3be6c30e623}">
          <xlrd:rvb i="883"/>
        </ext>
      </extLst>
    </bk>
    <bk>
      <extLst>
        <ext uri="{3e2802c4-a4d2-4d8b-9148-e3be6c30e623}">
          <xlrd:rvb i="884"/>
        </ext>
      </extLst>
    </bk>
    <bk>
      <extLst>
        <ext uri="{3e2802c4-a4d2-4d8b-9148-e3be6c30e623}">
          <xlrd:rvb i="885"/>
        </ext>
      </extLst>
    </bk>
    <bk>
      <extLst>
        <ext uri="{3e2802c4-a4d2-4d8b-9148-e3be6c30e623}">
          <xlrd:rvb i="886"/>
        </ext>
      </extLst>
    </bk>
    <bk>
      <extLst>
        <ext uri="{3e2802c4-a4d2-4d8b-9148-e3be6c30e623}">
          <xlrd:rvb i="887"/>
        </ext>
      </extLst>
    </bk>
    <bk>
      <extLst>
        <ext uri="{3e2802c4-a4d2-4d8b-9148-e3be6c30e623}">
          <xlrd:rvb i="888"/>
        </ext>
      </extLst>
    </bk>
    <bk>
      <extLst>
        <ext uri="{3e2802c4-a4d2-4d8b-9148-e3be6c30e623}">
          <xlrd:rvb i="889"/>
        </ext>
      </extLst>
    </bk>
    <bk>
      <extLst>
        <ext uri="{3e2802c4-a4d2-4d8b-9148-e3be6c30e623}">
          <xlrd:rvb i="890"/>
        </ext>
      </extLst>
    </bk>
    <bk>
      <extLst>
        <ext uri="{3e2802c4-a4d2-4d8b-9148-e3be6c30e623}">
          <xlrd:rvb i="891"/>
        </ext>
      </extLst>
    </bk>
    <bk>
      <extLst>
        <ext uri="{3e2802c4-a4d2-4d8b-9148-e3be6c30e623}">
          <xlrd:rvb i="892"/>
        </ext>
      </extLst>
    </bk>
    <bk>
      <extLst>
        <ext uri="{3e2802c4-a4d2-4d8b-9148-e3be6c30e623}">
          <xlrd:rvb i="893"/>
        </ext>
      </extLst>
    </bk>
    <bk>
      <extLst>
        <ext uri="{3e2802c4-a4d2-4d8b-9148-e3be6c30e623}">
          <xlrd:rvb i="894"/>
        </ext>
      </extLst>
    </bk>
    <bk>
      <extLst>
        <ext uri="{3e2802c4-a4d2-4d8b-9148-e3be6c30e623}">
          <xlrd:rvb i="895"/>
        </ext>
      </extLst>
    </bk>
    <bk>
      <extLst>
        <ext uri="{3e2802c4-a4d2-4d8b-9148-e3be6c30e623}">
          <xlrd:rvb i="896"/>
        </ext>
      </extLst>
    </bk>
    <bk>
      <extLst>
        <ext uri="{3e2802c4-a4d2-4d8b-9148-e3be6c30e623}">
          <xlrd:rvb i="897"/>
        </ext>
      </extLst>
    </bk>
    <bk>
      <extLst>
        <ext uri="{3e2802c4-a4d2-4d8b-9148-e3be6c30e623}">
          <xlrd:rvb i="898"/>
        </ext>
      </extLst>
    </bk>
    <bk>
      <extLst>
        <ext uri="{3e2802c4-a4d2-4d8b-9148-e3be6c30e623}">
          <xlrd:rvb i="899"/>
        </ext>
      </extLst>
    </bk>
    <bk>
      <extLst>
        <ext uri="{3e2802c4-a4d2-4d8b-9148-e3be6c30e623}">
          <xlrd:rvb i="900"/>
        </ext>
      </extLst>
    </bk>
    <bk>
      <extLst>
        <ext uri="{3e2802c4-a4d2-4d8b-9148-e3be6c30e623}">
          <xlrd:rvb i="901"/>
        </ext>
      </extLst>
    </bk>
    <bk>
      <extLst>
        <ext uri="{3e2802c4-a4d2-4d8b-9148-e3be6c30e623}">
          <xlrd:rvb i="902"/>
        </ext>
      </extLst>
    </bk>
    <bk>
      <extLst>
        <ext uri="{3e2802c4-a4d2-4d8b-9148-e3be6c30e623}">
          <xlrd:rvb i="903"/>
        </ext>
      </extLst>
    </bk>
    <bk>
      <extLst>
        <ext uri="{3e2802c4-a4d2-4d8b-9148-e3be6c30e623}">
          <xlrd:rvb i="904"/>
        </ext>
      </extLst>
    </bk>
    <bk>
      <extLst>
        <ext uri="{3e2802c4-a4d2-4d8b-9148-e3be6c30e623}">
          <xlrd:rvb i="905"/>
        </ext>
      </extLst>
    </bk>
    <bk>
      <extLst>
        <ext uri="{3e2802c4-a4d2-4d8b-9148-e3be6c30e623}">
          <xlrd:rvb i="906"/>
        </ext>
      </extLst>
    </bk>
    <bk>
      <extLst>
        <ext uri="{3e2802c4-a4d2-4d8b-9148-e3be6c30e623}">
          <xlrd:rvb i="907"/>
        </ext>
      </extLst>
    </bk>
    <bk>
      <extLst>
        <ext uri="{3e2802c4-a4d2-4d8b-9148-e3be6c30e623}">
          <xlrd:rvb i="908"/>
        </ext>
      </extLst>
    </bk>
    <bk>
      <extLst>
        <ext uri="{3e2802c4-a4d2-4d8b-9148-e3be6c30e623}">
          <xlrd:rvb i="909"/>
        </ext>
      </extLst>
    </bk>
    <bk>
      <extLst>
        <ext uri="{3e2802c4-a4d2-4d8b-9148-e3be6c30e623}">
          <xlrd:rvb i="910"/>
        </ext>
      </extLst>
    </bk>
    <bk>
      <extLst>
        <ext uri="{3e2802c4-a4d2-4d8b-9148-e3be6c30e623}">
          <xlrd:rvb i="911"/>
        </ext>
      </extLst>
    </bk>
    <bk>
      <extLst>
        <ext uri="{3e2802c4-a4d2-4d8b-9148-e3be6c30e623}">
          <xlrd:rvb i="912"/>
        </ext>
      </extLst>
    </bk>
    <bk>
      <extLst>
        <ext uri="{3e2802c4-a4d2-4d8b-9148-e3be6c30e623}">
          <xlrd:rvb i="913"/>
        </ext>
      </extLst>
    </bk>
    <bk>
      <extLst>
        <ext uri="{3e2802c4-a4d2-4d8b-9148-e3be6c30e623}">
          <xlrd:rvb i="914"/>
        </ext>
      </extLst>
    </bk>
    <bk>
      <extLst>
        <ext uri="{3e2802c4-a4d2-4d8b-9148-e3be6c30e623}">
          <xlrd:rvb i="915"/>
        </ext>
      </extLst>
    </bk>
    <bk>
      <extLst>
        <ext uri="{3e2802c4-a4d2-4d8b-9148-e3be6c30e623}">
          <xlrd:rvb i="916"/>
        </ext>
      </extLst>
    </bk>
    <bk>
      <extLst>
        <ext uri="{3e2802c4-a4d2-4d8b-9148-e3be6c30e623}">
          <xlrd:rvb i="917"/>
        </ext>
      </extLst>
    </bk>
    <bk>
      <extLst>
        <ext uri="{3e2802c4-a4d2-4d8b-9148-e3be6c30e623}">
          <xlrd:rvb i="918"/>
        </ext>
      </extLst>
    </bk>
    <bk>
      <extLst>
        <ext uri="{3e2802c4-a4d2-4d8b-9148-e3be6c30e623}">
          <xlrd:rvb i="919"/>
        </ext>
      </extLst>
    </bk>
    <bk>
      <extLst>
        <ext uri="{3e2802c4-a4d2-4d8b-9148-e3be6c30e623}">
          <xlrd:rvb i="920"/>
        </ext>
      </extLst>
    </bk>
    <bk>
      <extLst>
        <ext uri="{3e2802c4-a4d2-4d8b-9148-e3be6c30e623}">
          <xlrd:rvb i="921"/>
        </ext>
      </extLst>
    </bk>
    <bk>
      <extLst>
        <ext uri="{3e2802c4-a4d2-4d8b-9148-e3be6c30e623}">
          <xlrd:rvb i="922"/>
        </ext>
      </extLst>
    </bk>
    <bk>
      <extLst>
        <ext uri="{3e2802c4-a4d2-4d8b-9148-e3be6c30e623}">
          <xlrd:rvb i="923"/>
        </ext>
      </extLst>
    </bk>
    <bk>
      <extLst>
        <ext uri="{3e2802c4-a4d2-4d8b-9148-e3be6c30e623}">
          <xlrd:rvb i="924"/>
        </ext>
      </extLst>
    </bk>
    <bk>
      <extLst>
        <ext uri="{3e2802c4-a4d2-4d8b-9148-e3be6c30e623}">
          <xlrd:rvb i="925"/>
        </ext>
      </extLst>
    </bk>
    <bk>
      <extLst>
        <ext uri="{3e2802c4-a4d2-4d8b-9148-e3be6c30e623}">
          <xlrd:rvb i="926"/>
        </ext>
      </extLst>
    </bk>
    <bk>
      <extLst>
        <ext uri="{3e2802c4-a4d2-4d8b-9148-e3be6c30e623}">
          <xlrd:rvb i="927"/>
        </ext>
      </extLst>
    </bk>
    <bk>
      <extLst>
        <ext uri="{3e2802c4-a4d2-4d8b-9148-e3be6c30e623}">
          <xlrd:rvb i="928"/>
        </ext>
      </extLst>
    </bk>
    <bk>
      <extLst>
        <ext uri="{3e2802c4-a4d2-4d8b-9148-e3be6c30e623}">
          <xlrd:rvb i="929"/>
        </ext>
      </extLst>
    </bk>
    <bk>
      <extLst>
        <ext uri="{3e2802c4-a4d2-4d8b-9148-e3be6c30e623}">
          <xlrd:rvb i="930"/>
        </ext>
      </extLst>
    </bk>
    <bk>
      <extLst>
        <ext uri="{3e2802c4-a4d2-4d8b-9148-e3be6c30e623}">
          <xlrd:rvb i="931"/>
        </ext>
      </extLst>
    </bk>
    <bk>
      <extLst>
        <ext uri="{3e2802c4-a4d2-4d8b-9148-e3be6c30e623}">
          <xlrd:rvb i="932"/>
        </ext>
      </extLst>
    </bk>
    <bk>
      <extLst>
        <ext uri="{3e2802c4-a4d2-4d8b-9148-e3be6c30e623}">
          <xlrd:rvb i="933"/>
        </ext>
      </extLst>
    </bk>
    <bk>
      <extLst>
        <ext uri="{3e2802c4-a4d2-4d8b-9148-e3be6c30e623}">
          <xlrd:rvb i="934"/>
        </ext>
      </extLst>
    </bk>
    <bk>
      <extLst>
        <ext uri="{3e2802c4-a4d2-4d8b-9148-e3be6c30e623}">
          <xlrd:rvb i="935"/>
        </ext>
      </extLst>
    </bk>
    <bk>
      <extLst>
        <ext uri="{3e2802c4-a4d2-4d8b-9148-e3be6c30e623}">
          <xlrd:rvb i="936"/>
        </ext>
      </extLst>
    </bk>
    <bk>
      <extLst>
        <ext uri="{3e2802c4-a4d2-4d8b-9148-e3be6c30e623}">
          <xlrd:rvb i="937"/>
        </ext>
      </extLst>
    </bk>
    <bk>
      <extLst>
        <ext uri="{3e2802c4-a4d2-4d8b-9148-e3be6c30e623}">
          <xlrd:rvb i="938"/>
        </ext>
      </extLst>
    </bk>
    <bk>
      <extLst>
        <ext uri="{3e2802c4-a4d2-4d8b-9148-e3be6c30e623}">
          <xlrd:rvb i="939"/>
        </ext>
      </extLst>
    </bk>
    <bk>
      <extLst>
        <ext uri="{3e2802c4-a4d2-4d8b-9148-e3be6c30e623}">
          <xlrd:rvb i="940"/>
        </ext>
      </extLst>
    </bk>
    <bk>
      <extLst>
        <ext uri="{3e2802c4-a4d2-4d8b-9148-e3be6c30e623}">
          <xlrd:rvb i="941"/>
        </ext>
      </extLst>
    </bk>
  </futureMetadata>
  <cellMetadata count="1">
    <bk>
      <rc t="1" v="0"/>
    </bk>
  </cellMetadata>
  <valueMetadata count="942">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bk>
      <rc t="2" v="100"/>
    </bk>
    <bk>
      <rc t="2" v="101"/>
    </bk>
    <bk>
      <rc t="2" v="102"/>
    </bk>
    <bk>
      <rc t="2" v="103"/>
    </bk>
    <bk>
      <rc t="2" v="104"/>
    </bk>
    <bk>
      <rc t="2" v="105"/>
    </bk>
    <bk>
      <rc t="2" v="106"/>
    </bk>
    <bk>
      <rc t="2" v="107"/>
    </bk>
    <bk>
      <rc t="2" v="108"/>
    </bk>
    <bk>
      <rc t="2" v="109"/>
    </bk>
    <bk>
      <rc t="2" v="110"/>
    </bk>
    <bk>
      <rc t="2" v="111"/>
    </bk>
    <bk>
      <rc t="2" v="112"/>
    </bk>
    <bk>
      <rc t="2" v="113"/>
    </bk>
    <bk>
      <rc t="2" v="114"/>
    </bk>
    <bk>
      <rc t="2" v="115"/>
    </bk>
    <bk>
      <rc t="2" v="116"/>
    </bk>
    <bk>
      <rc t="2" v="117"/>
    </bk>
    <bk>
      <rc t="2" v="118"/>
    </bk>
    <bk>
      <rc t="2" v="119"/>
    </bk>
    <bk>
      <rc t="2" v="120"/>
    </bk>
    <bk>
      <rc t="2" v="121"/>
    </bk>
    <bk>
      <rc t="2" v="122"/>
    </bk>
    <bk>
      <rc t="2" v="123"/>
    </bk>
    <bk>
      <rc t="2" v="124"/>
    </bk>
    <bk>
      <rc t="2" v="125"/>
    </bk>
    <bk>
      <rc t="2" v="126"/>
    </bk>
    <bk>
      <rc t="2" v="127"/>
    </bk>
    <bk>
      <rc t="2" v="128"/>
    </bk>
    <bk>
      <rc t="2" v="129"/>
    </bk>
    <bk>
      <rc t="2" v="130"/>
    </bk>
    <bk>
      <rc t="2" v="131"/>
    </bk>
    <bk>
      <rc t="2" v="132"/>
    </bk>
    <bk>
      <rc t="2" v="133"/>
    </bk>
    <bk>
      <rc t="2" v="134"/>
    </bk>
    <bk>
      <rc t="2" v="135"/>
    </bk>
    <bk>
      <rc t="2" v="136"/>
    </bk>
    <bk>
      <rc t="2" v="137"/>
    </bk>
    <bk>
      <rc t="2" v="138"/>
    </bk>
    <bk>
      <rc t="2" v="139"/>
    </bk>
    <bk>
      <rc t="2" v="140"/>
    </bk>
    <bk>
      <rc t="2" v="141"/>
    </bk>
    <bk>
      <rc t="2" v="142"/>
    </bk>
    <bk>
      <rc t="2" v="143"/>
    </bk>
    <bk>
      <rc t="2" v="144"/>
    </bk>
    <bk>
      <rc t="2" v="145"/>
    </bk>
    <bk>
      <rc t="2" v="146"/>
    </bk>
    <bk>
      <rc t="2" v="147"/>
    </bk>
    <bk>
      <rc t="2" v="148"/>
    </bk>
    <bk>
      <rc t="2" v="149"/>
    </bk>
    <bk>
      <rc t="2" v="150"/>
    </bk>
    <bk>
      <rc t="2" v="151"/>
    </bk>
    <bk>
      <rc t="2" v="152"/>
    </bk>
    <bk>
      <rc t="2" v="153"/>
    </bk>
    <bk>
      <rc t="2" v="154"/>
    </bk>
    <bk>
      <rc t="2" v="155"/>
    </bk>
    <bk>
      <rc t="2" v="156"/>
    </bk>
    <bk>
      <rc t="2" v="157"/>
    </bk>
    <bk>
      <rc t="2" v="158"/>
    </bk>
    <bk>
      <rc t="2" v="159"/>
    </bk>
    <bk>
      <rc t="2" v="160"/>
    </bk>
    <bk>
      <rc t="2" v="161"/>
    </bk>
    <bk>
      <rc t="2" v="162"/>
    </bk>
    <bk>
      <rc t="2" v="163"/>
    </bk>
    <bk>
      <rc t="2" v="164"/>
    </bk>
    <bk>
      <rc t="2" v="165"/>
    </bk>
    <bk>
      <rc t="2" v="166"/>
    </bk>
    <bk>
      <rc t="2" v="167"/>
    </bk>
    <bk>
      <rc t="2" v="168"/>
    </bk>
    <bk>
      <rc t="2" v="169"/>
    </bk>
    <bk>
      <rc t="2" v="170"/>
    </bk>
    <bk>
      <rc t="2" v="171"/>
    </bk>
    <bk>
      <rc t="2" v="172"/>
    </bk>
    <bk>
      <rc t="2" v="173"/>
    </bk>
    <bk>
      <rc t="2" v="174"/>
    </bk>
    <bk>
      <rc t="2" v="175"/>
    </bk>
    <bk>
      <rc t="2" v="176"/>
    </bk>
    <bk>
      <rc t="2" v="177"/>
    </bk>
    <bk>
      <rc t="2" v="178"/>
    </bk>
    <bk>
      <rc t="2" v="179"/>
    </bk>
    <bk>
      <rc t="2" v="180"/>
    </bk>
    <bk>
      <rc t="2" v="181"/>
    </bk>
    <bk>
      <rc t="2" v="182"/>
    </bk>
    <bk>
      <rc t="2" v="183"/>
    </bk>
    <bk>
      <rc t="2" v="184"/>
    </bk>
    <bk>
      <rc t="2" v="185"/>
    </bk>
    <bk>
      <rc t="2" v="186"/>
    </bk>
    <bk>
      <rc t="2" v="187"/>
    </bk>
    <bk>
      <rc t="2" v="188"/>
    </bk>
    <bk>
      <rc t="2" v="189"/>
    </bk>
    <bk>
      <rc t="2" v="190"/>
    </bk>
    <bk>
      <rc t="2" v="191"/>
    </bk>
    <bk>
      <rc t="2" v="192"/>
    </bk>
    <bk>
      <rc t="2" v="193"/>
    </bk>
    <bk>
      <rc t="2" v="194"/>
    </bk>
    <bk>
      <rc t="2" v="195"/>
    </bk>
    <bk>
      <rc t="2" v="196"/>
    </bk>
    <bk>
      <rc t="2" v="197"/>
    </bk>
    <bk>
      <rc t="2" v="198"/>
    </bk>
    <bk>
      <rc t="2" v="199"/>
    </bk>
    <bk>
      <rc t="2" v="200"/>
    </bk>
    <bk>
      <rc t="2" v="201"/>
    </bk>
    <bk>
      <rc t="2" v="202"/>
    </bk>
    <bk>
      <rc t="2" v="203"/>
    </bk>
    <bk>
      <rc t="2" v="204"/>
    </bk>
    <bk>
      <rc t="2" v="205"/>
    </bk>
    <bk>
      <rc t="2" v="206"/>
    </bk>
    <bk>
      <rc t="2" v="207"/>
    </bk>
    <bk>
      <rc t="2" v="208"/>
    </bk>
    <bk>
      <rc t="2" v="209"/>
    </bk>
    <bk>
      <rc t="2" v="210"/>
    </bk>
    <bk>
      <rc t="2" v="211"/>
    </bk>
    <bk>
      <rc t="2" v="212"/>
    </bk>
    <bk>
      <rc t="2" v="213"/>
    </bk>
    <bk>
      <rc t="2" v="214"/>
    </bk>
    <bk>
      <rc t="2" v="215"/>
    </bk>
    <bk>
      <rc t="2" v="216"/>
    </bk>
    <bk>
      <rc t="2" v="217"/>
    </bk>
    <bk>
      <rc t="2" v="218"/>
    </bk>
    <bk>
      <rc t="2" v="219"/>
    </bk>
    <bk>
      <rc t="2" v="220"/>
    </bk>
    <bk>
      <rc t="2" v="221"/>
    </bk>
    <bk>
      <rc t="2" v="222"/>
    </bk>
    <bk>
      <rc t="2" v="223"/>
    </bk>
    <bk>
      <rc t="2" v="224"/>
    </bk>
    <bk>
      <rc t="2" v="225"/>
    </bk>
    <bk>
      <rc t="2" v="226"/>
    </bk>
    <bk>
      <rc t="2" v="227"/>
    </bk>
    <bk>
      <rc t="2" v="228"/>
    </bk>
    <bk>
      <rc t="2" v="229"/>
    </bk>
    <bk>
      <rc t="2" v="230"/>
    </bk>
    <bk>
      <rc t="2" v="231"/>
    </bk>
    <bk>
      <rc t="2" v="232"/>
    </bk>
    <bk>
      <rc t="2" v="233"/>
    </bk>
    <bk>
      <rc t="2" v="234"/>
    </bk>
    <bk>
      <rc t="2" v="235"/>
    </bk>
    <bk>
      <rc t="2" v="236"/>
    </bk>
    <bk>
      <rc t="2" v="237"/>
    </bk>
    <bk>
      <rc t="2" v="238"/>
    </bk>
    <bk>
      <rc t="2" v="239"/>
    </bk>
    <bk>
      <rc t="2" v="240"/>
    </bk>
    <bk>
      <rc t="2" v="241"/>
    </bk>
    <bk>
      <rc t="2" v="242"/>
    </bk>
    <bk>
      <rc t="2" v="243"/>
    </bk>
    <bk>
      <rc t="2" v="244"/>
    </bk>
    <bk>
      <rc t="2" v="245"/>
    </bk>
    <bk>
      <rc t="2" v="246"/>
    </bk>
    <bk>
      <rc t="2" v="247"/>
    </bk>
    <bk>
      <rc t="2" v="248"/>
    </bk>
    <bk>
      <rc t="2" v="249"/>
    </bk>
    <bk>
      <rc t="2" v="250"/>
    </bk>
    <bk>
      <rc t="2" v="251"/>
    </bk>
    <bk>
      <rc t="2" v="252"/>
    </bk>
    <bk>
      <rc t="2" v="253"/>
    </bk>
    <bk>
      <rc t="2" v="254"/>
    </bk>
    <bk>
      <rc t="2" v="255"/>
    </bk>
    <bk>
      <rc t="2" v="256"/>
    </bk>
    <bk>
      <rc t="2" v="257"/>
    </bk>
    <bk>
      <rc t="2" v="258"/>
    </bk>
    <bk>
      <rc t="2" v="259"/>
    </bk>
    <bk>
      <rc t="2" v="260"/>
    </bk>
    <bk>
      <rc t="2" v="261"/>
    </bk>
    <bk>
      <rc t="2" v="262"/>
    </bk>
    <bk>
      <rc t="2" v="263"/>
    </bk>
    <bk>
      <rc t="2" v="264"/>
    </bk>
    <bk>
      <rc t="2" v="265"/>
    </bk>
    <bk>
      <rc t="2" v="266"/>
    </bk>
    <bk>
      <rc t="2" v="267"/>
    </bk>
    <bk>
      <rc t="2" v="268"/>
    </bk>
    <bk>
      <rc t="2" v="269"/>
    </bk>
    <bk>
      <rc t="2" v="270"/>
    </bk>
    <bk>
      <rc t="2" v="271"/>
    </bk>
    <bk>
      <rc t="2" v="272"/>
    </bk>
    <bk>
      <rc t="2" v="273"/>
    </bk>
    <bk>
      <rc t="2" v="274"/>
    </bk>
    <bk>
      <rc t="2" v="275"/>
    </bk>
    <bk>
      <rc t="2" v="276"/>
    </bk>
    <bk>
      <rc t="2" v="277"/>
    </bk>
    <bk>
      <rc t="2" v="278"/>
    </bk>
    <bk>
      <rc t="2" v="279"/>
    </bk>
    <bk>
      <rc t="2" v="280"/>
    </bk>
    <bk>
      <rc t="2" v="281"/>
    </bk>
    <bk>
      <rc t="2" v="282"/>
    </bk>
    <bk>
      <rc t="2" v="283"/>
    </bk>
    <bk>
      <rc t="2" v="284"/>
    </bk>
    <bk>
      <rc t="2" v="285"/>
    </bk>
    <bk>
      <rc t="2" v="286"/>
    </bk>
    <bk>
      <rc t="2" v="287"/>
    </bk>
    <bk>
      <rc t="2" v="288"/>
    </bk>
    <bk>
      <rc t="2" v="289"/>
    </bk>
    <bk>
      <rc t="2" v="290"/>
    </bk>
    <bk>
      <rc t="2" v="291"/>
    </bk>
    <bk>
      <rc t="2" v="292"/>
    </bk>
    <bk>
      <rc t="2" v="293"/>
    </bk>
    <bk>
      <rc t="2" v="294"/>
    </bk>
    <bk>
      <rc t="2" v="295"/>
    </bk>
    <bk>
      <rc t="2" v="296"/>
    </bk>
    <bk>
      <rc t="2" v="297"/>
    </bk>
    <bk>
      <rc t="2" v="298"/>
    </bk>
    <bk>
      <rc t="2" v="299"/>
    </bk>
    <bk>
      <rc t="2" v="300"/>
    </bk>
    <bk>
      <rc t="2" v="301"/>
    </bk>
    <bk>
      <rc t="2" v="302"/>
    </bk>
    <bk>
      <rc t="2" v="303"/>
    </bk>
    <bk>
      <rc t="2" v="304"/>
    </bk>
    <bk>
      <rc t="2" v="305"/>
    </bk>
    <bk>
      <rc t="2" v="306"/>
    </bk>
    <bk>
      <rc t="2" v="307"/>
    </bk>
    <bk>
      <rc t="2" v="308"/>
    </bk>
    <bk>
      <rc t="2" v="309"/>
    </bk>
    <bk>
      <rc t="2" v="310"/>
    </bk>
    <bk>
      <rc t="2" v="311"/>
    </bk>
    <bk>
      <rc t="2" v="312"/>
    </bk>
    <bk>
      <rc t="2" v="313"/>
    </bk>
    <bk>
      <rc t="2" v="314"/>
    </bk>
    <bk>
      <rc t="2" v="315"/>
    </bk>
    <bk>
      <rc t="2" v="316"/>
    </bk>
    <bk>
      <rc t="2" v="317"/>
    </bk>
    <bk>
      <rc t="2" v="318"/>
    </bk>
    <bk>
      <rc t="2" v="319"/>
    </bk>
    <bk>
      <rc t="2" v="320"/>
    </bk>
    <bk>
      <rc t="2" v="321"/>
    </bk>
    <bk>
      <rc t="2" v="322"/>
    </bk>
    <bk>
      <rc t="2" v="323"/>
    </bk>
    <bk>
      <rc t="2" v="324"/>
    </bk>
    <bk>
      <rc t="2" v="325"/>
    </bk>
    <bk>
      <rc t="2" v="326"/>
    </bk>
    <bk>
      <rc t="2" v="327"/>
    </bk>
    <bk>
      <rc t="2" v="328"/>
    </bk>
    <bk>
      <rc t="2" v="329"/>
    </bk>
    <bk>
      <rc t="2" v="330"/>
    </bk>
    <bk>
      <rc t="2" v="331"/>
    </bk>
    <bk>
      <rc t="2" v="332"/>
    </bk>
    <bk>
      <rc t="2" v="333"/>
    </bk>
    <bk>
      <rc t="2" v="334"/>
    </bk>
    <bk>
      <rc t="2" v="335"/>
    </bk>
    <bk>
      <rc t="2" v="336"/>
    </bk>
    <bk>
      <rc t="2" v="337"/>
    </bk>
    <bk>
      <rc t="2" v="338"/>
    </bk>
    <bk>
      <rc t="2" v="339"/>
    </bk>
    <bk>
      <rc t="2" v="340"/>
    </bk>
    <bk>
      <rc t="2" v="341"/>
    </bk>
    <bk>
      <rc t="2" v="342"/>
    </bk>
    <bk>
      <rc t="2" v="343"/>
    </bk>
    <bk>
      <rc t="2" v="344"/>
    </bk>
    <bk>
      <rc t="2" v="345"/>
    </bk>
    <bk>
      <rc t="2" v="346"/>
    </bk>
    <bk>
      <rc t="2" v="347"/>
    </bk>
    <bk>
      <rc t="2" v="348"/>
    </bk>
    <bk>
      <rc t="2" v="349"/>
    </bk>
    <bk>
      <rc t="2" v="350"/>
    </bk>
    <bk>
      <rc t="2" v="351"/>
    </bk>
    <bk>
      <rc t="2" v="352"/>
    </bk>
    <bk>
      <rc t="2" v="353"/>
    </bk>
    <bk>
      <rc t="2" v="354"/>
    </bk>
    <bk>
      <rc t="2" v="355"/>
    </bk>
    <bk>
      <rc t="2" v="356"/>
    </bk>
    <bk>
      <rc t="2" v="357"/>
    </bk>
    <bk>
      <rc t="2" v="358"/>
    </bk>
    <bk>
      <rc t="2" v="359"/>
    </bk>
    <bk>
      <rc t="2" v="360"/>
    </bk>
    <bk>
      <rc t="2" v="361"/>
    </bk>
    <bk>
      <rc t="2" v="362"/>
    </bk>
    <bk>
      <rc t="2" v="363"/>
    </bk>
    <bk>
      <rc t="2" v="364"/>
    </bk>
    <bk>
      <rc t="2" v="365"/>
    </bk>
    <bk>
      <rc t="2" v="366"/>
    </bk>
    <bk>
      <rc t="2" v="367"/>
    </bk>
    <bk>
      <rc t="2" v="368"/>
    </bk>
    <bk>
      <rc t="2" v="369"/>
    </bk>
    <bk>
      <rc t="2" v="370"/>
    </bk>
    <bk>
      <rc t="2" v="371"/>
    </bk>
    <bk>
      <rc t="2" v="372"/>
    </bk>
    <bk>
      <rc t="2" v="373"/>
    </bk>
    <bk>
      <rc t="2" v="374"/>
    </bk>
    <bk>
      <rc t="2" v="375"/>
    </bk>
    <bk>
      <rc t="2" v="376"/>
    </bk>
    <bk>
      <rc t="2" v="377"/>
    </bk>
    <bk>
      <rc t="2" v="378"/>
    </bk>
    <bk>
      <rc t="2" v="379"/>
    </bk>
    <bk>
      <rc t="2" v="380"/>
    </bk>
    <bk>
      <rc t="2" v="381"/>
    </bk>
    <bk>
      <rc t="2" v="382"/>
    </bk>
    <bk>
      <rc t="2" v="383"/>
    </bk>
    <bk>
      <rc t="2" v="384"/>
    </bk>
    <bk>
      <rc t="2" v="385"/>
    </bk>
    <bk>
      <rc t="2" v="386"/>
    </bk>
    <bk>
      <rc t="2" v="387"/>
    </bk>
    <bk>
      <rc t="2" v="388"/>
    </bk>
    <bk>
      <rc t="2" v="389"/>
    </bk>
    <bk>
      <rc t="2" v="390"/>
    </bk>
    <bk>
      <rc t="2" v="391"/>
    </bk>
    <bk>
      <rc t="2" v="392"/>
    </bk>
    <bk>
      <rc t="2" v="393"/>
    </bk>
    <bk>
      <rc t="2" v="394"/>
    </bk>
    <bk>
      <rc t="2" v="395"/>
    </bk>
    <bk>
      <rc t="2" v="396"/>
    </bk>
    <bk>
      <rc t="2" v="397"/>
    </bk>
    <bk>
      <rc t="2" v="398"/>
    </bk>
    <bk>
      <rc t="2" v="399"/>
    </bk>
    <bk>
      <rc t="2" v="400"/>
    </bk>
    <bk>
      <rc t="2" v="401"/>
    </bk>
    <bk>
      <rc t="2" v="402"/>
    </bk>
    <bk>
      <rc t="2" v="403"/>
    </bk>
    <bk>
      <rc t="2" v="404"/>
    </bk>
    <bk>
      <rc t="2" v="405"/>
    </bk>
    <bk>
      <rc t="2" v="406"/>
    </bk>
    <bk>
      <rc t="2" v="407"/>
    </bk>
    <bk>
      <rc t="2" v="408"/>
    </bk>
    <bk>
      <rc t="2" v="409"/>
    </bk>
    <bk>
      <rc t="2" v="410"/>
    </bk>
    <bk>
      <rc t="2" v="411"/>
    </bk>
    <bk>
      <rc t="2" v="412"/>
    </bk>
    <bk>
      <rc t="2" v="413"/>
    </bk>
    <bk>
      <rc t="2" v="414"/>
    </bk>
    <bk>
      <rc t="2" v="415"/>
    </bk>
    <bk>
      <rc t="2" v="416"/>
    </bk>
    <bk>
      <rc t="2" v="417"/>
    </bk>
    <bk>
      <rc t="2" v="418"/>
    </bk>
    <bk>
      <rc t="2" v="419"/>
    </bk>
    <bk>
      <rc t="2" v="420"/>
    </bk>
    <bk>
      <rc t="2" v="421"/>
    </bk>
    <bk>
      <rc t="2" v="422"/>
    </bk>
    <bk>
      <rc t="2" v="423"/>
    </bk>
    <bk>
      <rc t="2" v="424"/>
    </bk>
    <bk>
      <rc t="2" v="425"/>
    </bk>
    <bk>
      <rc t="2" v="426"/>
    </bk>
    <bk>
      <rc t="2" v="427"/>
    </bk>
    <bk>
      <rc t="2" v="428"/>
    </bk>
    <bk>
      <rc t="2" v="429"/>
    </bk>
    <bk>
      <rc t="2" v="430"/>
    </bk>
    <bk>
      <rc t="2" v="431"/>
    </bk>
    <bk>
      <rc t="2" v="432"/>
    </bk>
    <bk>
      <rc t="2" v="433"/>
    </bk>
    <bk>
      <rc t="2" v="434"/>
    </bk>
    <bk>
      <rc t="2" v="435"/>
    </bk>
    <bk>
      <rc t="2" v="436"/>
    </bk>
    <bk>
      <rc t="2" v="437"/>
    </bk>
    <bk>
      <rc t="2" v="438"/>
    </bk>
    <bk>
      <rc t="2" v="439"/>
    </bk>
    <bk>
      <rc t="2" v="440"/>
    </bk>
    <bk>
      <rc t="2" v="441"/>
    </bk>
    <bk>
      <rc t="2" v="442"/>
    </bk>
    <bk>
      <rc t="2" v="443"/>
    </bk>
    <bk>
      <rc t="2" v="444"/>
    </bk>
    <bk>
      <rc t="2" v="445"/>
    </bk>
    <bk>
      <rc t="2" v="446"/>
    </bk>
    <bk>
      <rc t="2" v="447"/>
    </bk>
    <bk>
      <rc t="2" v="448"/>
    </bk>
    <bk>
      <rc t="2" v="449"/>
    </bk>
    <bk>
      <rc t="2" v="450"/>
    </bk>
    <bk>
      <rc t="2" v="451"/>
    </bk>
    <bk>
      <rc t="2" v="452"/>
    </bk>
    <bk>
      <rc t="2" v="453"/>
    </bk>
    <bk>
      <rc t="2" v="454"/>
    </bk>
    <bk>
      <rc t="2" v="455"/>
    </bk>
    <bk>
      <rc t="2" v="456"/>
    </bk>
    <bk>
      <rc t="2" v="457"/>
    </bk>
    <bk>
      <rc t="2" v="458"/>
    </bk>
    <bk>
      <rc t="2" v="459"/>
    </bk>
    <bk>
      <rc t="2" v="460"/>
    </bk>
    <bk>
      <rc t="2" v="461"/>
    </bk>
    <bk>
      <rc t="2" v="462"/>
    </bk>
    <bk>
      <rc t="2" v="463"/>
    </bk>
    <bk>
      <rc t="2" v="464"/>
    </bk>
    <bk>
      <rc t="2" v="465"/>
    </bk>
    <bk>
      <rc t="2" v="466"/>
    </bk>
    <bk>
      <rc t="2" v="467"/>
    </bk>
    <bk>
      <rc t="2" v="468"/>
    </bk>
    <bk>
      <rc t="2" v="469"/>
    </bk>
    <bk>
      <rc t="2" v="470"/>
    </bk>
    <bk>
      <rc t="2" v="471"/>
    </bk>
    <bk>
      <rc t="2" v="472"/>
    </bk>
    <bk>
      <rc t="2" v="473"/>
    </bk>
    <bk>
      <rc t="2" v="474"/>
    </bk>
    <bk>
      <rc t="2" v="475"/>
    </bk>
    <bk>
      <rc t="2" v="476"/>
    </bk>
    <bk>
      <rc t="2" v="477"/>
    </bk>
    <bk>
      <rc t="2" v="478"/>
    </bk>
    <bk>
      <rc t="2" v="479"/>
    </bk>
    <bk>
      <rc t="2" v="480"/>
    </bk>
    <bk>
      <rc t="2" v="481"/>
    </bk>
    <bk>
      <rc t="2" v="482"/>
    </bk>
    <bk>
      <rc t="2" v="483"/>
    </bk>
    <bk>
      <rc t="2" v="484"/>
    </bk>
    <bk>
      <rc t="2" v="485"/>
    </bk>
    <bk>
      <rc t="2" v="486"/>
    </bk>
    <bk>
      <rc t="2" v="487"/>
    </bk>
    <bk>
      <rc t="2" v="488"/>
    </bk>
    <bk>
      <rc t="2" v="489"/>
    </bk>
    <bk>
      <rc t="2" v="490"/>
    </bk>
    <bk>
      <rc t="2" v="491"/>
    </bk>
    <bk>
      <rc t="2" v="492"/>
    </bk>
    <bk>
      <rc t="2" v="493"/>
    </bk>
    <bk>
      <rc t="2" v="494"/>
    </bk>
    <bk>
      <rc t="2" v="495"/>
    </bk>
    <bk>
      <rc t="2" v="496"/>
    </bk>
    <bk>
      <rc t="2" v="497"/>
    </bk>
    <bk>
      <rc t="2" v="498"/>
    </bk>
    <bk>
      <rc t="2" v="499"/>
    </bk>
    <bk>
      <rc t="2" v="500"/>
    </bk>
    <bk>
      <rc t="2" v="501"/>
    </bk>
    <bk>
      <rc t="2" v="502"/>
    </bk>
    <bk>
      <rc t="2" v="503"/>
    </bk>
    <bk>
      <rc t="2" v="504"/>
    </bk>
    <bk>
      <rc t="2" v="505"/>
    </bk>
    <bk>
      <rc t="2" v="506"/>
    </bk>
    <bk>
      <rc t="2" v="507"/>
    </bk>
    <bk>
      <rc t="2" v="508"/>
    </bk>
    <bk>
      <rc t="2" v="509"/>
    </bk>
    <bk>
      <rc t="2" v="510"/>
    </bk>
    <bk>
      <rc t="2" v="511"/>
    </bk>
    <bk>
      <rc t="2" v="512"/>
    </bk>
    <bk>
      <rc t="2" v="513"/>
    </bk>
    <bk>
      <rc t="2" v="514"/>
    </bk>
    <bk>
      <rc t="2" v="515"/>
    </bk>
    <bk>
      <rc t="2" v="516"/>
    </bk>
    <bk>
      <rc t="2" v="517"/>
    </bk>
    <bk>
      <rc t="2" v="518"/>
    </bk>
    <bk>
      <rc t="2" v="519"/>
    </bk>
    <bk>
      <rc t="2" v="520"/>
    </bk>
    <bk>
      <rc t="2" v="521"/>
    </bk>
    <bk>
      <rc t="2" v="522"/>
    </bk>
    <bk>
      <rc t="2" v="523"/>
    </bk>
    <bk>
      <rc t="2" v="524"/>
    </bk>
    <bk>
      <rc t="2" v="525"/>
    </bk>
    <bk>
      <rc t="2" v="526"/>
    </bk>
    <bk>
      <rc t="2" v="527"/>
    </bk>
    <bk>
      <rc t="2" v="528"/>
    </bk>
    <bk>
      <rc t="2" v="529"/>
    </bk>
    <bk>
      <rc t="2" v="530"/>
    </bk>
    <bk>
      <rc t="2" v="531"/>
    </bk>
    <bk>
      <rc t="2" v="532"/>
    </bk>
    <bk>
      <rc t="2" v="533"/>
    </bk>
    <bk>
      <rc t="2" v="534"/>
    </bk>
    <bk>
      <rc t="2" v="535"/>
    </bk>
    <bk>
      <rc t="2" v="536"/>
    </bk>
    <bk>
      <rc t="2" v="537"/>
    </bk>
    <bk>
      <rc t="2" v="538"/>
    </bk>
    <bk>
      <rc t="2" v="539"/>
    </bk>
    <bk>
      <rc t="2" v="540"/>
    </bk>
    <bk>
      <rc t="2" v="541"/>
    </bk>
    <bk>
      <rc t="2" v="542"/>
    </bk>
    <bk>
      <rc t="2" v="543"/>
    </bk>
    <bk>
      <rc t="2" v="544"/>
    </bk>
    <bk>
      <rc t="2" v="545"/>
    </bk>
    <bk>
      <rc t="2" v="546"/>
    </bk>
    <bk>
      <rc t="2" v="547"/>
    </bk>
    <bk>
      <rc t="2" v="548"/>
    </bk>
    <bk>
      <rc t="2" v="549"/>
    </bk>
    <bk>
      <rc t="2" v="550"/>
    </bk>
    <bk>
      <rc t="2" v="551"/>
    </bk>
    <bk>
      <rc t="2" v="552"/>
    </bk>
    <bk>
      <rc t="2" v="553"/>
    </bk>
    <bk>
      <rc t="2" v="554"/>
    </bk>
    <bk>
      <rc t="2" v="555"/>
    </bk>
    <bk>
      <rc t="2" v="556"/>
    </bk>
    <bk>
      <rc t="2" v="557"/>
    </bk>
    <bk>
      <rc t="2" v="558"/>
    </bk>
    <bk>
      <rc t="2" v="559"/>
    </bk>
    <bk>
      <rc t="2" v="560"/>
    </bk>
    <bk>
      <rc t="2" v="561"/>
    </bk>
    <bk>
      <rc t="2" v="562"/>
    </bk>
    <bk>
      <rc t="2" v="563"/>
    </bk>
    <bk>
      <rc t="2" v="564"/>
    </bk>
    <bk>
      <rc t="2" v="565"/>
    </bk>
    <bk>
      <rc t="2" v="566"/>
    </bk>
    <bk>
      <rc t="2" v="567"/>
    </bk>
    <bk>
      <rc t="2" v="568"/>
    </bk>
    <bk>
      <rc t="2" v="569"/>
    </bk>
    <bk>
      <rc t="2" v="570"/>
    </bk>
    <bk>
      <rc t="2" v="571"/>
    </bk>
    <bk>
      <rc t="2" v="572"/>
    </bk>
    <bk>
      <rc t="2" v="573"/>
    </bk>
    <bk>
      <rc t="2" v="574"/>
    </bk>
    <bk>
      <rc t="2" v="575"/>
    </bk>
    <bk>
      <rc t="2" v="576"/>
    </bk>
    <bk>
      <rc t="2" v="577"/>
    </bk>
    <bk>
      <rc t="2" v="578"/>
    </bk>
    <bk>
      <rc t="2" v="579"/>
    </bk>
    <bk>
      <rc t="2" v="580"/>
    </bk>
    <bk>
      <rc t="2" v="581"/>
    </bk>
    <bk>
      <rc t="2" v="582"/>
    </bk>
    <bk>
      <rc t="2" v="583"/>
    </bk>
    <bk>
      <rc t="2" v="584"/>
    </bk>
    <bk>
      <rc t="2" v="585"/>
    </bk>
    <bk>
      <rc t="2" v="586"/>
    </bk>
    <bk>
      <rc t="2" v="587"/>
    </bk>
    <bk>
      <rc t="2" v="588"/>
    </bk>
    <bk>
      <rc t="2" v="589"/>
    </bk>
    <bk>
      <rc t="2" v="590"/>
    </bk>
    <bk>
      <rc t="2" v="591"/>
    </bk>
    <bk>
      <rc t="2" v="592"/>
    </bk>
    <bk>
      <rc t="2" v="593"/>
    </bk>
    <bk>
      <rc t="2" v="594"/>
    </bk>
    <bk>
      <rc t="2" v="595"/>
    </bk>
    <bk>
      <rc t="2" v="596"/>
    </bk>
    <bk>
      <rc t="2" v="597"/>
    </bk>
    <bk>
      <rc t="2" v="598"/>
    </bk>
    <bk>
      <rc t="2" v="599"/>
    </bk>
    <bk>
      <rc t="2" v="600"/>
    </bk>
    <bk>
      <rc t="2" v="601"/>
    </bk>
    <bk>
      <rc t="2" v="602"/>
    </bk>
    <bk>
      <rc t="2" v="603"/>
    </bk>
    <bk>
      <rc t="2" v="604"/>
    </bk>
    <bk>
      <rc t="2" v="605"/>
    </bk>
    <bk>
      <rc t="2" v="606"/>
    </bk>
    <bk>
      <rc t="2" v="607"/>
    </bk>
    <bk>
      <rc t="2" v="608"/>
    </bk>
    <bk>
      <rc t="2" v="609"/>
    </bk>
    <bk>
      <rc t="2" v="610"/>
    </bk>
    <bk>
      <rc t="2" v="611"/>
    </bk>
    <bk>
      <rc t="2" v="612"/>
    </bk>
    <bk>
      <rc t="2" v="613"/>
    </bk>
    <bk>
      <rc t="2" v="614"/>
    </bk>
    <bk>
      <rc t="2" v="615"/>
    </bk>
    <bk>
      <rc t="2" v="616"/>
    </bk>
    <bk>
      <rc t="2" v="617"/>
    </bk>
    <bk>
      <rc t="2" v="618"/>
    </bk>
    <bk>
      <rc t="2" v="619"/>
    </bk>
    <bk>
      <rc t="2" v="620"/>
    </bk>
    <bk>
      <rc t="2" v="621"/>
    </bk>
    <bk>
      <rc t="2" v="622"/>
    </bk>
    <bk>
      <rc t="2" v="623"/>
    </bk>
    <bk>
      <rc t="2" v="624"/>
    </bk>
    <bk>
      <rc t="2" v="625"/>
    </bk>
    <bk>
      <rc t="2" v="626"/>
    </bk>
    <bk>
      <rc t="2" v="627"/>
    </bk>
    <bk>
      <rc t="2" v="628"/>
    </bk>
    <bk>
      <rc t="2" v="629"/>
    </bk>
    <bk>
      <rc t="2" v="630"/>
    </bk>
    <bk>
      <rc t="2" v="631"/>
    </bk>
    <bk>
      <rc t="2" v="632"/>
    </bk>
    <bk>
      <rc t="2" v="633"/>
    </bk>
    <bk>
      <rc t="2" v="634"/>
    </bk>
    <bk>
      <rc t="2" v="635"/>
    </bk>
    <bk>
      <rc t="2" v="636"/>
    </bk>
    <bk>
      <rc t="2" v="637"/>
    </bk>
    <bk>
      <rc t="2" v="638"/>
    </bk>
    <bk>
      <rc t="2" v="639"/>
    </bk>
    <bk>
      <rc t="2" v="640"/>
    </bk>
    <bk>
      <rc t="2" v="641"/>
    </bk>
    <bk>
      <rc t="2" v="642"/>
    </bk>
    <bk>
      <rc t="2" v="643"/>
    </bk>
    <bk>
      <rc t="2" v="644"/>
    </bk>
    <bk>
      <rc t="2" v="645"/>
    </bk>
    <bk>
      <rc t="2" v="646"/>
    </bk>
    <bk>
      <rc t="2" v="647"/>
    </bk>
    <bk>
      <rc t="2" v="648"/>
    </bk>
    <bk>
      <rc t="2" v="649"/>
    </bk>
    <bk>
      <rc t="2" v="650"/>
    </bk>
    <bk>
      <rc t="2" v="651"/>
    </bk>
    <bk>
      <rc t="2" v="652"/>
    </bk>
    <bk>
      <rc t="2" v="653"/>
    </bk>
    <bk>
      <rc t="2" v="654"/>
    </bk>
    <bk>
      <rc t="2" v="655"/>
    </bk>
    <bk>
      <rc t="2" v="656"/>
    </bk>
    <bk>
      <rc t="2" v="657"/>
    </bk>
    <bk>
      <rc t="2" v="658"/>
    </bk>
    <bk>
      <rc t="2" v="659"/>
    </bk>
    <bk>
      <rc t="2" v="660"/>
    </bk>
    <bk>
      <rc t="2" v="661"/>
    </bk>
    <bk>
      <rc t="2" v="662"/>
    </bk>
    <bk>
      <rc t="2" v="663"/>
    </bk>
    <bk>
      <rc t="2" v="664"/>
    </bk>
    <bk>
      <rc t="2" v="665"/>
    </bk>
    <bk>
      <rc t="2" v="666"/>
    </bk>
    <bk>
      <rc t="2" v="667"/>
    </bk>
    <bk>
      <rc t="2" v="668"/>
    </bk>
    <bk>
      <rc t="2" v="669"/>
    </bk>
    <bk>
      <rc t="2" v="670"/>
    </bk>
    <bk>
      <rc t="2" v="671"/>
    </bk>
    <bk>
      <rc t="2" v="672"/>
    </bk>
    <bk>
      <rc t="2" v="673"/>
    </bk>
    <bk>
      <rc t="2" v="674"/>
    </bk>
    <bk>
      <rc t="2" v="675"/>
    </bk>
    <bk>
      <rc t="2" v="676"/>
    </bk>
    <bk>
      <rc t="2" v="677"/>
    </bk>
    <bk>
      <rc t="2" v="678"/>
    </bk>
    <bk>
      <rc t="2" v="679"/>
    </bk>
    <bk>
      <rc t="2" v="680"/>
    </bk>
    <bk>
      <rc t="2" v="681"/>
    </bk>
    <bk>
      <rc t="2" v="682"/>
    </bk>
    <bk>
      <rc t="2" v="683"/>
    </bk>
    <bk>
      <rc t="2" v="684"/>
    </bk>
    <bk>
      <rc t="2" v="685"/>
    </bk>
    <bk>
      <rc t="2" v="686"/>
    </bk>
    <bk>
      <rc t="2" v="687"/>
    </bk>
    <bk>
      <rc t="2" v="688"/>
    </bk>
    <bk>
      <rc t="2" v="689"/>
    </bk>
    <bk>
      <rc t="2" v="690"/>
    </bk>
    <bk>
      <rc t="2" v="691"/>
    </bk>
    <bk>
      <rc t="2" v="692"/>
    </bk>
    <bk>
      <rc t="2" v="693"/>
    </bk>
    <bk>
      <rc t="2" v="694"/>
    </bk>
    <bk>
      <rc t="2" v="695"/>
    </bk>
    <bk>
      <rc t="2" v="696"/>
    </bk>
    <bk>
      <rc t="2" v="697"/>
    </bk>
    <bk>
      <rc t="2" v="698"/>
    </bk>
    <bk>
      <rc t="2" v="699"/>
    </bk>
    <bk>
      <rc t="2" v="700"/>
    </bk>
    <bk>
      <rc t="2" v="701"/>
    </bk>
    <bk>
      <rc t="2" v="702"/>
    </bk>
    <bk>
      <rc t="2" v="703"/>
    </bk>
    <bk>
      <rc t="2" v="704"/>
    </bk>
    <bk>
      <rc t="2" v="705"/>
    </bk>
    <bk>
      <rc t="2" v="706"/>
    </bk>
    <bk>
      <rc t="2" v="707"/>
    </bk>
    <bk>
      <rc t="2" v="708"/>
    </bk>
    <bk>
      <rc t="2" v="709"/>
    </bk>
    <bk>
      <rc t="2" v="710"/>
    </bk>
    <bk>
      <rc t="2" v="711"/>
    </bk>
    <bk>
      <rc t="2" v="712"/>
    </bk>
    <bk>
      <rc t="2" v="713"/>
    </bk>
    <bk>
      <rc t="2" v="714"/>
    </bk>
    <bk>
      <rc t="2" v="715"/>
    </bk>
    <bk>
      <rc t="2" v="716"/>
    </bk>
    <bk>
      <rc t="2" v="717"/>
    </bk>
    <bk>
      <rc t="2" v="718"/>
    </bk>
    <bk>
      <rc t="2" v="719"/>
    </bk>
    <bk>
      <rc t="2" v="720"/>
    </bk>
    <bk>
      <rc t="2" v="721"/>
    </bk>
    <bk>
      <rc t="2" v="722"/>
    </bk>
    <bk>
      <rc t="2" v="723"/>
    </bk>
    <bk>
      <rc t="2" v="724"/>
    </bk>
    <bk>
      <rc t="2" v="725"/>
    </bk>
    <bk>
      <rc t="2" v="726"/>
    </bk>
    <bk>
      <rc t="2" v="727"/>
    </bk>
    <bk>
      <rc t="2" v="728"/>
    </bk>
    <bk>
      <rc t="2" v="729"/>
    </bk>
    <bk>
      <rc t="2" v="730"/>
    </bk>
    <bk>
      <rc t="2" v="731"/>
    </bk>
    <bk>
      <rc t="2" v="732"/>
    </bk>
    <bk>
      <rc t="2" v="733"/>
    </bk>
    <bk>
      <rc t="2" v="734"/>
    </bk>
    <bk>
      <rc t="2" v="735"/>
    </bk>
    <bk>
      <rc t="2" v="736"/>
    </bk>
    <bk>
      <rc t="2" v="737"/>
    </bk>
    <bk>
      <rc t="2" v="738"/>
    </bk>
    <bk>
      <rc t="2" v="739"/>
    </bk>
    <bk>
      <rc t="2" v="740"/>
    </bk>
    <bk>
      <rc t="2" v="741"/>
    </bk>
    <bk>
      <rc t="2" v="742"/>
    </bk>
    <bk>
      <rc t="2" v="743"/>
    </bk>
    <bk>
      <rc t="2" v="744"/>
    </bk>
    <bk>
      <rc t="2" v="745"/>
    </bk>
    <bk>
      <rc t="2" v="746"/>
    </bk>
    <bk>
      <rc t="2" v="747"/>
    </bk>
    <bk>
      <rc t="2" v="748"/>
    </bk>
    <bk>
      <rc t="2" v="749"/>
    </bk>
    <bk>
      <rc t="2" v="750"/>
    </bk>
    <bk>
      <rc t="2" v="751"/>
    </bk>
    <bk>
      <rc t="2" v="752"/>
    </bk>
    <bk>
      <rc t="2" v="753"/>
    </bk>
    <bk>
      <rc t="2" v="754"/>
    </bk>
    <bk>
      <rc t="2" v="755"/>
    </bk>
    <bk>
      <rc t="2" v="756"/>
    </bk>
    <bk>
      <rc t="2" v="757"/>
    </bk>
    <bk>
      <rc t="2" v="758"/>
    </bk>
    <bk>
      <rc t="2" v="759"/>
    </bk>
    <bk>
      <rc t="2" v="760"/>
    </bk>
    <bk>
      <rc t="2" v="761"/>
    </bk>
    <bk>
      <rc t="2" v="762"/>
    </bk>
    <bk>
      <rc t="2" v="763"/>
    </bk>
    <bk>
      <rc t="2" v="764"/>
    </bk>
    <bk>
      <rc t="2" v="765"/>
    </bk>
    <bk>
      <rc t="2" v="766"/>
    </bk>
    <bk>
      <rc t="2" v="767"/>
    </bk>
    <bk>
      <rc t="2" v="768"/>
    </bk>
    <bk>
      <rc t="2" v="769"/>
    </bk>
    <bk>
      <rc t="2" v="770"/>
    </bk>
    <bk>
      <rc t="2" v="771"/>
    </bk>
    <bk>
      <rc t="2" v="772"/>
    </bk>
    <bk>
      <rc t="2" v="773"/>
    </bk>
    <bk>
      <rc t="2" v="774"/>
    </bk>
    <bk>
      <rc t="2" v="775"/>
    </bk>
    <bk>
      <rc t="2" v="776"/>
    </bk>
    <bk>
      <rc t="2" v="777"/>
    </bk>
    <bk>
      <rc t="2" v="778"/>
    </bk>
    <bk>
      <rc t="2" v="779"/>
    </bk>
    <bk>
      <rc t="2" v="780"/>
    </bk>
    <bk>
      <rc t="2" v="781"/>
    </bk>
    <bk>
      <rc t="2" v="782"/>
    </bk>
    <bk>
      <rc t="2" v="783"/>
    </bk>
    <bk>
      <rc t="2" v="784"/>
    </bk>
    <bk>
      <rc t="2" v="785"/>
    </bk>
    <bk>
      <rc t="2" v="786"/>
    </bk>
    <bk>
      <rc t="2" v="787"/>
    </bk>
    <bk>
      <rc t="2" v="788"/>
    </bk>
    <bk>
      <rc t="2" v="789"/>
    </bk>
    <bk>
      <rc t="2" v="790"/>
    </bk>
    <bk>
      <rc t="2" v="791"/>
    </bk>
    <bk>
      <rc t="2" v="792"/>
    </bk>
    <bk>
      <rc t="2" v="793"/>
    </bk>
    <bk>
      <rc t="2" v="794"/>
    </bk>
    <bk>
      <rc t="2" v="795"/>
    </bk>
    <bk>
      <rc t="2" v="796"/>
    </bk>
    <bk>
      <rc t="2" v="797"/>
    </bk>
    <bk>
      <rc t="2" v="798"/>
    </bk>
    <bk>
      <rc t="2" v="799"/>
    </bk>
    <bk>
      <rc t="2" v="800"/>
    </bk>
    <bk>
      <rc t="2" v="801"/>
    </bk>
    <bk>
      <rc t="2" v="802"/>
    </bk>
    <bk>
      <rc t="2" v="803"/>
    </bk>
    <bk>
      <rc t="2" v="804"/>
    </bk>
    <bk>
      <rc t="2" v="805"/>
    </bk>
    <bk>
      <rc t="2" v="806"/>
    </bk>
    <bk>
      <rc t="2" v="807"/>
    </bk>
    <bk>
      <rc t="2" v="808"/>
    </bk>
    <bk>
      <rc t="2" v="809"/>
    </bk>
    <bk>
      <rc t="2" v="810"/>
    </bk>
    <bk>
      <rc t="2" v="811"/>
    </bk>
    <bk>
      <rc t="2" v="812"/>
    </bk>
    <bk>
      <rc t="2" v="813"/>
    </bk>
    <bk>
      <rc t="2" v="814"/>
    </bk>
    <bk>
      <rc t="2" v="815"/>
    </bk>
    <bk>
      <rc t="2" v="816"/>
    </bk>
    <bk>
      <rc t="2" v="817"/>
    </bk>
    <bk>
      <rc t="2" v="818"/>
    </bk>
    <bk>
      <rc t="2" v="819"/>
    </bk>
    <bk>
      <rc t="2" v="820"/>
    </bk>
    <bk>
      <rc t="2" v="821"/>
    </bk>
    <bk>
      <rc t="2" v="822"/>
    </bk>
    <bk>
      <rc t="2" v="823"/>
    </bk>
    <bk>
      <rc t="2" v="824"/>
    </bk>
    <bk>
      <rc t="2" v="825"/>
    </bk>
    <bk>
      <rc t="2" v="826"/>
    </bk>
    <bk>
      <rc t="2" v="827"/>
    </bk>
    <bk>
      <rc t="2" v="828"/>
    </bk>
    <bk>
      <rc t="2" v="829"/>
    </bk>
    <bk>
      <rc t="2" v="830"/>
    </bk>
    <bk>
      <rc t="2" v="831"/>
    </bk>
    <bk>
      <rc t="2" v="832"/>
    </bk>
    <bk>
      <rc t="2" v="833"/>
    </bk>
    <bk>
      <rc t="2" v="834"/>
    </bk>
    <bk>
      <rc t="2" v="835"/>
    </bk>
    <bk>
      <rc t="2" v="836"/>
    </bk>
    <bk>
      <rc t="2" v="837"/>
    </bk>
    <bk>
      <rc t="2" v="838"/>
    </bk>
    <bk>
      <rc t="2" v="839"/>
    </bk>
    <bk>
      <rc t="2" v="840"/>
    </bk>
    <bk>
      <rc t="2" v="841"/>
    </bk>
    <bk>
      <rc t="2" v="842"/>
    </bk>
    <bk>
      <rc t="2" v="843"/>
    </bk>
    <bk>
      <rc t="2" v="844"/>
    </bk>
    <bk>
      <rc t="2" v="845"/>
    </bk>
    <bk>
      <rc t="2" v="846"/>
    </bk>
    <bk>
      <rc t="2" v="847"/>
    </bk>
    <bk>
      <rc t="2" v="848"/>
    </bk>
    <bk>
      <rc t="2" v="849"/>
    </bk>
    <bk>
      <rc t="2" v="850"/>
    </bk>
    <bk>
      <rc t="2" v="851"/>
    </bk>
    <bk>
      <rc t="2" v="852"/>
    </bk>
    <bk>
      <rc t="2" v="853"/>
    </bk>
    <bk>
      <rc t="2" v="854"/>
    </bk>
    <bk>
      <rc t="2" v="855"/>
    </bk>
    <bk>
      <rc t="2" v="856"/>
    </bk>
    <bk>
      <rc t="2" v="857"/>
    </bk>
    <bk>
      <rc t="2" v="858"/>
    </bk>
    <bk>
      <rc t="2" v="859"/>
    </bk>
    <bk>
      <rc t="2" v="860"/>
    </bk>
    <bk>
      <rc t="2" v="861"/>
    </bk>
    <bk>
      <rc t="2" v="862"/>
    </bk>
    <bk>
      <rc t="2" v="863"/>
    </bk>
    <bk>
      <rc t="2" v="864"/>
    </bk>
    <bk>
      <rc t="2" v="865"/>
    </bk>
    <bk>
      <rc t="2" v="866"/>
    </bk>
    <bk>
      <rc t="2" v="867"/>
    </bk>
    <bk>
      <rc t="2" v="868"/>
    </bk>
    <bk>
      <rc t="2" v="869"/>
    </bk>
    <bk>
      <rc t="2" v="870"/>
    </bk>
    <bk>
      <rc t="2" v="871"/>
    </bk>
    <bk>
      <rc t="2" v="872"/>
    </bk>
    <bk>
      <rc t="2" v="873"/>
    </bk>
    <bk>
      <rc t="2" v="874"/>
    </bk>
    <bk>
      <rc t="2" v="875"/>
    </bk>
    <bk>
      <rc t="2" v="876"/>
    </bk>
    <bk>
      <rc t="2" v="877"/>
    </bk>
    <bk>
      <rc t="2" v="878"/>
    </bk>
    <bk>
      <rc t="2" v="879"/>
    </bk>
    <bk>
      <rc t="2" v="880"/>
    </bk>
    <bk>
      <rc t="2" v="881"/>
    </bk>
    <bk>
      <rc t="2" v="882"/>
    </bk>
    <bk>
      <rc t="2" v="883"/>
    </bk>
    <bk>
      <rc t="2" v="884"/>
    </bk>
    <bk>
      <rc t="2" v="885"/>
    </bk>
    <bk>
      <rc t="2" v="886"/>
    </bk>
    <bk>
      <rc t="2" v="887"/>
    </bk>
    <bk>
      <rc t="2" v="888"/>
    </bk>
    <bk>
      <rc t="2" v="889"/>
    </bk>
    <bk>
      <rc t="2" v="890"/>
    </bk>
    <bk>
      <rc t="2" v="891"/>
    </bk>
    <bk>
      <rc t="2" v="892"/>
    </bk>
    <bk>
      <rc t="2" v="893"/>
    </bk>
    <bk>
      <rc t="2" v="894"/>
    </bk>
    <bk>
      <rc t="2" v="895"/>
    </bk>
    <bk>
      <rc t="2" v="896"/>
    </bk>
    <bk>
      <rc t="2" v="897"/>
    </bk>
    <bk>
      <rc t="2" v="898"/>
    </bk>
    <bk>
      <rc t="2" v="899"/>
    </bk>
    <bk>
      <rc t="2" v="900"/>
    </bk>
    <bk>
      <rc t="2" v="901"/>
    </bk>
    <bk>
      <rc t="2" v="902"/>
    </bk>
    <bk>
      <rc t="2" v="903"/>
    </bk>
    <bk>
      <rc t="2" v="904"/>
    </bk>
    <bk>
      <rc t="2" v="905"/>
    </bk>
    <bk>
      <rc t="2" v="906"/>
    </bk>
    <bk>
      <rc t="2" v="907"/>
    </bk>
    <bk>
      <rc t="2" v="908"/>
    </bk>
    <bk>
      <rc t="2" v="909"/>
    </bk>
    <bk>
      <rc t="2" v="910"/>
    </bk>
    <bk>
      <rc t="2" v="911"/>
    </bk>
    <bk>
      <rc t="2" v="912"/>
    </bk>
    <bk>
      <rc t="2" v="913"/>
    </bk>
    <bk>
      <rc t="2" v="914"/>
    </bk>
    <bk>
      <rc t="2" v="915"/>
    </bk>
    <bk>
      <rc t="2" v="916"/>
    </bk>
    <bk>
      <rc t="2" v="917"/>
    </bk>
    <bk>
      <rc t="2" v="918"/>
    </bk>
    <bk>
      <rc t="2" v="919"/>
    </bk>
    <bk>
      <rc t="2" v="920"/>
    </bk>
    <bk>
      <rc t="2" v="921"/>
    </bk>
    <bk>
      <rc t="2" v="922"/>
    </bk>
    <bk>
      <rc t="2" v="923"/>
    </bk>
    <bk>
      <rc t="2" v="924"/>
    </bk>
    <bk>
      <rc t="2" v="925"/>
    </bk>
    <bk>
      <rc t="2" v="926"/>
    </bk>
    <bk>
      <rc t="2" v="927"/>
    </bk>
    <bk>
      <rc t="2" v="928"/>
    </bk>
    <bk>
      <rc t="2" v="929"/>
    </bk>
    <bk>
      <rc t="2" v="930"/>
    </bk>
    <bk>
      <rc t="2" v="931"/>
    </bk>
    <bk>
      <rc t="2" v="932"/>
    </bk>
    <bk>
      <rc t="2" v="933"/>
    </bk>
    <bk>
      <rc t="2" v="934"/>
    </bk>
    <bk>
      <rc t="2" v="935"/>
    </bk>
    <bk>
      <rc t="2" v="936"/>
    </bk>
    <bk>
      <rc t="2" v="937"/>
    </bk>
    <bk>
      <rc t="2" v="938"/>
    </bk>
    <bk>
      <rc t="2" v="939"/>
    </bk>
    <bk>
      <rc t="2" v="940"/>
    </bk>
    <bk>
      <rc t="2" v="941"/>
    </bk>
  </valueMetadata>
</metadata>
</file>

<file path=xl/sharedStrings.xml><?xml version="1.0" encoding="utf-8"?>
<sst xmlns="http://schemas.openxmlformats.org/spreadsheetml/2006/main" count="665" uniqueCount="452">
  <si>
    <t>Assets</t>
  </si>
  <si>
    <t>Inventories</t>
  </si>
  <si>
    <t>Goodwill</t>
  </si>
  <si>
    <t>Cash and cash equivalents</t>
  </si>
  <si>
    <t>Accounts receivable</t>
  </si>
  <si>
    <t>Other current financial assets</t>
  </si>
  <si>
    <t>Income tax receivables</t>
  </si>
  <si>
    <t>Other current assets</t>
  </si>
  <si>
    <t>Total current assets</t>
  </si>
  <si>
    <t>Property, plant, and equipment</t>
  </si>
  <si>
    <t>Right-of-use assets</t>
  </si>
  <si>
    <t>Other intangible assets</t>
  </si>
  <si>
    <t>Long-term financial assets</t>
  </si>
  <si>
    <t>Other non-current financial assets</t>
  </si>
  <si>
    <t>Deferred tax assets</t>
  </si>
  <si>
    <t>Other non-current assets</t>
  </si>
  <si>
    <t>Total non-current assets</t>
  </si>
  <si>
    <t>Total Assets</t>
  </si>
  <si>
    <t>Consolidated financial Statements of Adidas for 2021-2025</t>
  </si>
  <si>
    <t>Years</t>
  </si>
  <si>
    <t>Balance Sheet ( € in millions)</t>
  </si>
  <si>
    <t>Short-term borrowings</t>
  </si>
  <si>
    <t>Accounts payable</t>
  </si>
  <si>
    <t>Current lease liabilities</t>
  </si>
  <si>
    <t>Other current financial liabilities</t>
  </si>
  <si>
    <t>Income taxes</t>
  </si>
  <si>
    <t>Other current provisions</t>
  </si>
  <si>
    <t>Current accrued liabilities</t>
  </si>
  <si>
    <t>Other current liabilities</t>
  </si>
  <si>
    <t>Total current liabilities</t>
  </si>
  <si>
    <t>Long-term borrowings</t>
  </si>
  <si>
    <t>Non-current lease liabilities</t>
  </si>
  <si>
    <t>Other non-current financial liabilities</t>
  </si>
  <si>
    <t>Pensions and similar obligations</t>
  </si>
  <si>
    <t>Deferred tax liabilities</t>
  </si>
  <si>
    <t>Other non-current provisions</t>
  </si>
  <si>
    <t>Other non-current liabilities</t>
  </si>
  <si>
    <t>Total non-current liabilities</t>
  </si>
  <si>
    <t>Equity</t>
  </si>
  <si>
    <t>Share capital</t>
  </si>
  <si>
    <t>Reserves</t>
  </si>
  <si>
    <t>Retained earnings</t>
  </si>
  <si>
    <t>Shareholders' equity</t>
  </si>
  <si>
    <t>Non-controlling interests</t>
  </si>
  <si>
    <t>Total equity</t>
  </si>
  <si>
    <t>Total liabilities and equity</t>
  </si>
  <si>
    <t>Liabilities</t>
  </si>
  <si>
    <t xml:space="preserve"> </t>
  </si>
  <si>
    <t>Assets classified as held for sale</t>
  </si>
  <si>
    <t>Trademakrs</t>
  </si>
  <si>
    <t>Liabilities classified as held for sale</t>
  </si>
  <si>
    <t>Non-current accrued liabilities</t>
  </si>
  <si>
    <t>Short-term financial assets</t>
  </si>
  <si>
    <t>P&amp;L( € in millions)</t>
  </si>
  <si>
    <t>Net sales (Revenue)</t>
  </si>
  <si>
    <t>Gross profit</t>
  </si>
  <si>
    <t>Royalty and commission income</t>
  </si>
  <si>
    <t>Other operating income</t>
  </si>
  <si>
    <t>COGS</t>
  </si>
  <si>
    <t>Marketing and point-of-sale</t>
  </si>
  <si>
    <t>Distribution and selling</t>
  </si>
  <si>
    <t>General and administration</t>
  </si>
  <si>
    <t>EBITDA</t>
  </si>
  <si>
    <t>EBIT(Operating Profit)</t>
  </si>
  <si>
    <t>Financial Income</t>
  </si>
  <si>
    <t>Financial Expenses</t>
  </si>
  <si>
    <t>EBT(Income Before Taxes)</t>
  </si>
  <si>
    <t>Income Taxes</t>
  </si>
  <si>
    <t>Net Income</t>
  </si>
  <si>
    <t>Gain/(loss) from discontinued operations, net of tax</t>
  </si>
  <si>
    <t>Other operating  expenses</t>
  </si>
  <si>
    <t>Net Income (Cont Opers)</t>
  </si>
  <si>
    <t>Depreciation&amp;Amortization&amp;impairment losses</t>
  </si>
  <si>
    <t>CF( € in millions)</t>
  </si>
  <si>
    <t>Operating activities:</t>
  </si>
  <si>
    <t>EBT from continuing operations</t>
  </si>
  <si>
    <t>Depr&amp;Amor&amp;impairmentlosses</t>
  </si>
  <si>
    <t>Other Non-Cash Adjustments</t>
  </si>
  <si>
    <t>Net Interest Adjustments</t>
  </si>
  <si>
    <t>Change in Working Capital:</t>
  </si>
  <si>
    <t>Increase in AR&amp;other assets</t>
  </si>
  <si>
    <t>(Increase)/decrease in inventories</t>
  </si>
  <si>
    <t>Increase in AP&amp;other liabilities</t>
  </si>
  <si>
    <t>Income Taxes Paid</t>
  </si>
  <si>
    <t>Cash from Discontinued Operations</t>
  </si>
  <si>
    <t>Net cash (used in)/generated from operating activities</t>
  </si>
  <si>
    <t>Investing activities:</t>
  </si>
  <si>
    <t>CapEx</t>
  </si>
  <si>
    <t>Proceeds From Disposals</t>
  </si>
  <si>
    <t>Proceeds from disposal of discont opers</t>
  </si>
  <si>
    <t>Other Investing Activities</t>
  </si>
  <si>
    <t>Net cash generated from/(used in) investing activitie</t>
  </si>
  <si>
    <t>Financing activities:</t>
  </si>
  <si>
    <t>Net Borrowings</t>
  </si>
  <si>
    <t>Repayment of Lease liabilities</t>
  </si>
  <si>
    <t>Dividends paid</t>
  </si>
  <si>
    <t>Share BuyBack</t>
  </si>
  <si>
    <t>Other Financial Activities</t>
  </si>
  <si>
    <t>Net cash used in financing activities</t>
  </si>
  <si>
    <t>Sum of Cash Flows</t>
  </si>
  <si>
    <t>Effect of exchange rates on cash</t>
  </si>
  <si>
    <t>Net change in Cash</t>
  </si>
  <si>
    <t>Cash&amp;cash equivalents at beg of year</t>
  </si>
  <si>
    <t>Cash&amp;cash equivalents at end of period</t>
  </si>
  <si>
    <t>Sales Growth</t>
  </si>
  <si>
    <t>EBITDA Growth</t>
  </si>
  <si>
    <t>EBIT Growth</t>
  </si>
  <si>
    <t>EBT Growth</t>
  </si>
  <si>
    <t>Dividens Paid</t>
  </si>
  <si>
    <t>Gross Profit Margin</t>
  </si>
  <si>
    <t>EBITDA Margin</t>
  </si>
  <si>
    <t>EBIT Margin</t>
  </si>
  <si>
    <t>EBT Margin</t>
  </si>
  <si>
    <t>Net Profit Margin</t>
  </si>
  <si>
    <t>Net Profit Growth (Cont Opers)</t>
  </si>
  <si>
    <t>Net Profit Margin (Cont Opers)</t>
  </si>
  <si>
    <t>COGS%Sales</t>
  </si>
  <si>
    <t>OpenIncome%Sales</t>
  </si>
  <si>
    <t>OperEx%Sales</t>
  </si>
  <si>
    <t>Return on Capital Employed</t>
  </si>
  <si>
    <t>Retention Ratio</t>
  </si>
  <si>
    <t>ROE</t>
  </si>
  <si>
    <t>Self Sustained Growth Rate</t>
  </si>
  <si>
    <t>Interest Coverge</t>
  </si>
  <si>
    <t>AR Turnover Ratio</t>
  </si>
  <si>
    <t>AP Turnover Ratio</t>
  </si>
  <si>
    <t>Inventory Ratio</t>
  </si>
  <si>
    <t>Fixed assets Ratio</t>
  </si>
  <si>
    <t>Capital Turnover Ratio</t>
  </si>
  <si>
    <t xml:space="preserve">DSO </t>
  </si>
  <si>
    <t>DPO</t>
  </si>
  <si>
    <t>DIO</t>
  </si>
  <si>
    <t>Cash Conversion Cycle</t>
  </si>
  <si>
    <t>OCF/Sales</t>
  </si>
  <si>
    <t>OCF/Total Assets</t>
  </si>
  <si>
    <t>OCF/Total Debt</t>
  </si>
  <si>
    <t>Mean</t>
  </si>
  <si>
    <t>Median</t>
  </si>
  <si>
    <t>Adidas DuPoint Analysis</t>
  </si>
  <si>
    <t>About the Company</t>
  </si>
  <si>
    <t>Founded on performance, adidas sporting goods equipment supports athletes at all levels. Men, women and kids will find their best form in sneakers and activewear made to perform under pressure. adidas sportswear breathes, manages sweat and helps support working muscles.</t>
  </si>
  <si>
    <t>Financial Summary</t>
  </si>
  <si>
    <t>DuPont Analysis - Return on Equity &amp; Return on Asset</t>
  </si>
  <si>
    <t>Avg Shareholders Equity</t>
  </si>
  <si>
    <t>Avg Shareholders Equity(not 2020)</t>
  </si>
  <si>
    <t xml:space="preserve">Return on Equity </t>
  </si>
  <si>
    <t>Return on Equity (DuPont Analysis0</t>
  </si>
  <si>
    <t>Revenue</t>
  </si>
  <si>
    <t>Avg Total Assets(not 2020)</t>
  </si>
  <si>
    <t>Asset  Turnover Ratio</t>
  </si>
  <si>
    <t>Financial Leverage Ratio</t>
  </si>
  <si>
    <t>Return on Asset</t>
  </si>
  <si>
    <t>ROA</t>
  </si>
  <si>
    <t>Return on Asset(DuPont Analysis)</t>
  </si>
  <si>
    <t>Asset Turnover  Ratio</t>
  </si>
  <si>
    <t>Forecasting</t>
  </si>
  <si>
    <t>Year</t>
  </si>
  <si>
    <t>Year Weight</t>
  </si>
  <si>
    <t>Growth</t>
  </si>
  <si>
    <t>Weighted Avg Cost of Capital</t>
  </si>
  <si>
    <t>Peers Comp</t>
  </si>
  <si>
    <t>Brand</t>
  </si>
  <si>
    <t>Nike</t>
  </si>
  <si>
    <t>Puma</t>
  </si>
  <si>
    <t>Under Armour</t>
  </si>
  <si>
    <t>Country</t>
  </si>
  <si>
    <t>USA</t>
  </si>
  <si>
    <t>Germany</t>
  </si>
  <si>
    <t>Total Debt</t>
  </si>
  <si>
    <t>D/E</t>
  </si>
  <si>
    <t>D/Capital</t>
  </si>
  <si>
    <t>Tax rate</t>
  </si>
  <si>
    <t>ASICS</t>
  </si>
  <si>
    <t>Japan</t>
  </si>
  <si>
    <t>Total Debt(in millions)</t>
  </si>
  <si>
    <t>Market Cap(in millions)</t>
  </si>
  <si>
    <r>
      <t xml:space="preserve">Levered Beta </t>
    </r>
    <r>
      <rPr>
        <vertAlign val="superscript"/>
        <sz val="11"/>
        <color theme="1"/>
        <rFont val="Aptos Narrow"/>
        <family val="2"/>
        <scheme val="minor"/>
      </rPr>
      <t>2</t>
    </r>
  </si>
  <si>
    <r>
      <t xml:space="preserve">Unlevered Beta </t>
    </r>
    <r>
      <rPr>
        <vertAlign val="superscript"/>
        <sz val="11"/>
        <color theme="1"/>
        <rFont val="Aptos Narrow"/>
        <family val="2"/>
        <scheme val="minor"/>
      </rPr>
      <t>3</t>
    </r>
  </si>
  <si>
    <t>Adidas</t>
  </si>
  <si>
    <t>Return</t>
  </si>
  <si>
    <t xml:space="preserve">Return </t>
  </si>
  <si>
    <t>STOXX 600</t>
  </si>
  <si>
    <t>S&amp;P  500</t>
  </si>
  <si>
    <t>Nikkei 225</t>
  </si>
  <si>
    <t>Beta</t>
  </si>
  <si>
    <t>Company</t>
  </si>
  <si>
    <t xml:space="preserve">Puma </t>
  </si>
  <si>
    <t xml:space="preserve">Nike </t>
  </si>
  <si>
    <t xml:space="preserve">Under Armour </t>
  </si>
  <si>
    <t xml:space="preserve">ASICS </t>
  </si>
  <si>
    <t>Adjusted Beta</t>
  </si>
  <si>
    <t>Raw Beta Weight</t>
  </si>
  <si>
    <t>Market Beta Weight</t>
  </si>
  <si>
    <t>Average</t>
  </si>
  <si>
    <t>Cost of Debt</t>
  </si>
  <si>
    <t>Interest Coverage Ratio</t>
  </si>
  <si>
    <t>Defualt spread( Damodaran table)</t>
  </si>
  <si>
    <t xml:space="preserve">Country's Rfr </t>
  </si>
  <si>
    <t>Pre Tax cost of debt</t>
  </si>
  <si>
    <t>Tax Rate</t>
  </si>
  <si>
    <t>Post Tax Cost of Debt</t>
  </si>
  <si>
    <t>Cost of Equity</t>
  </si>
  <si>
    <t>Risk Free rate</t>
  </si>
  <si>
    <t>Equity Risk Premium</t>
  </si>
  <si>
    <t>Market Return</t>
  </si>
  <si>
    <t>Levered Beta</t>
  </si>
  <si>
    <t>Capital Structure</t>
  </si>
  <si>
    <t>Total Equity(MC)</t>
  </si>
  <si>
    <t>V</t>
  </si>
  <si>
    <t>D/V</t>
  </si>
  <si>
    <t>E/V</t>
  </si>
  <si>
    <t>Comps Median Unlevered Beta</t>
  </si>
  <si>
    <t>Debt</t>
  </si>
  <si>
    <t>Total Cost</t>
  </si>
  <si>
    <t>Total Weight</t>
  </si>
  <si>
    <t>WACC</t>
  </si>
  <si>
    <t>EBIT</t>
  </si>
  <si>
    <t>CapEX%Sales</t>
  </si>
  <si>
    <t>D&amp;A%Sales</t>
  </si>
  <si>
    <t>NWC</t>
  </si>
  <si>
    <t>NWC%Sales</t>
  </si>
  <si>
    <t>Change in NWC</t>
  </si>
  <si>
    <t>CapEX</t>
  </si>
  <si>
    <t>D&amp;A</t>
  </si>
  <si>
    <t xml:space="preserve">NWC </t>
  </si>
  <si>
    <t>Change NWC</t>
  </si>
  <si>
    <t>Adidas 5-Year Unlevered DCF for Projected 2026-2030</t>
  </si>
  <si>
    <t>Assumptions</t>
  </si>
  <si>
    <t>Discount Rate</t>
  </si>
  <si>
    <t>Pepretual Growth Rate</t>
  </si>
  <si>
    <t>Current Price</t>
  </si>
  <si>
    <t>Debt(in millions)</t>
  </si>
  <si>
    <t>Cash&amp;Cash equivalents(in millions)</t>
  </si>
  <si>
    <t>Shares Outstanding(in thousands)</t>
  </si>
  <si>
    <t>DCF</t>
  </si>
  <si>
    <t>FCF</t>
  </si>
  <si>
    <t>Terminal Value</t>
  </si>
  <si>
    <t>PV of TV</t>
  </si>
  <si>
    <t>PV of FCFs</t>
  </si>
  <si>
    <t>Enterprice Value</t>
  </si>
  <si>
    <t>Equity  Value</t>
  </si>
  <si>
    <t>Enterpice Value</t>
  </si>
  <si>
    <t>Equity Value</t>
  </si>
  <si>
    <t>Add: Cash&amp;equivalents(in millions)</t>
  </si>
  <si>
    <t>Less: Debt(in millions)</t>
  </si>
  <si>
    <t>Impled Price per Share</t>
  </si>
  <si>
    <t>Stock is Undervalued</t>
  </si>
  <si>
    <t>Standard LBO Model</t>
  </si>
  <si>
    <t>Step 1.Model Assumptions</t>
  </si>
  <si>
    <t>Entry Valuation</t>
  </si>
  <si>
    <t>LTM EBITDA</t>
  </si>
  <si>
    <t>Entry Multiple</t>
  </si>
  <si>
    <t>Purchase Enteprice Value</t>
  </si>
  <si>
    <t>Transaction Asssumptions</t>
  </si>
  <si>
    <t>Transaction Fees</t>
  </si>
  <si>
    <t>Cash to B/S</t>
  </si>
  <si>
    <t>Rollover Equity</t>
  </si>
  <si>
    <t>Curcularity Toggle (0=off, 1=on)</t>
  </si>
  <si>
    <t>Debt Assumptions</t>
  </si>
  <si>
    <t>Tranche</t>
  </si>
  <si>
    <t>Revolver</t>
  </si>
  <si>
    <t>Term Loan B</t>
  </si>
  <si>
    <t>Senior Notes</t>
  </si>
  <si>
    <t>Subordinated Notes</t>
  </si>
  <si>
    <t>X EBITDA</t>
  </si>
  <si>
    <t>X Amount</t>
  </si>
  <si>
    <t>Floor</t>
  </si>
  <si>
    <t>%Fee</t>
  </si>
  <si>
    <t>-</t>
  </si>
  <si>
    <t>E - Euribor</t>
  </si>
  <si>
    <t>%Amort</t>
  </si>
  <si>
    <t>(in millions euros)</t>
  </si>
  <si>
    <t>Sources</t>
  </si>
  <si>
    <t>Sponsor Equity</t>
  </si>
  <si>
    <t>Total Equity</t>
  </si>
  <si>
    <t>Total Sources</t>
  </si>
  <si>
    <t>Amount</t>
  </si>
  <si>
    <t>Uses</t>
  </si>
  <si>
    <t>Step 2.  Sources and  Uses  Table</t>
  </si>
  <si>
    <t>Sources ans Uses</t>
  </si>
  <si>
    <t>Financing Fees</t>
  </si>
  <si>
    <t>Total Uses</t>
  </si>
  <si>
    <t>Check</t>
  </si>
  <si>
    <t>Purchase Enterpice Value</t>
  </si>
  <si>
    <t>Step 3. Purchase Price Allocation</t>
  </si>
  <si>
    <t>GoodWill Calculation</t>
  </si>
  <si>
    <t>Purchase Enterprice Value</t>
  </si>
  <si>
    <t>Cash</t>
  </si>
  <si>
    <t>Purchase Equity Value</t>
  </si>
  <si>
    <t>Book Value of Equity</t>
  </si>
  <si>
    <t>Existing Goodwill</t>
  </si>
  <si>
    <t>Allocable Purchase Premium</t>
  </si>
  <si>
    <t>Intangible Assets Write-up</t>
  </si>
  <si>
    <t xml:space="preserve">Intangible Assets Allocation </t>
  </si>
  <si>
    <t>Useful Life Assumption</t>
  </si>
  <si>
    <t>Annual Amortization</t>
  </si>
  <si>
    <t>Defered Tax Liability</t>
  </si>
  <si>
    <t>Annual Unwind of DTL</t>
  </si>
  <si>
    <t>PP&amp;E Write-up %</t>
  </si>
  <si>
    <t>PP&amp;E Write-up</t>
  </si>
  <si>
    <t>Usefl Life Asssumption</t>
  </si>
  <si>
    <t>Annual Depreciation</t>
  </si>
  <si>
    <t>Deffered Tax Liability</t>
  </si>
  <si>
    <t>Intagble Assets Write-Up</t>
  </si>
  <si>
    <t>PP&amp;E Write-Up</t>
  </si>
  <si>
    <t>Deferred Tax Liability</t>
  </si>
  <si>
    <t>Pro Forma Goodwill</t>
  </si>
  <si>
    <t>Step 4. Closing Balance Sheet</t>
  </si>
  <si>
    <t>Closing B.S. Adjustments</t>
  </si>
  <si>
    <t>Adjustments</t>
  </si>
  <si>
    <t>Debit</t>
  </si>
  <si>
    <t>Credit</t>
  </si>
  <si>
    <t>2025A</t>
  </si>
  <si>
    <t>2025PF</t>
  </si>
  <si>
    <t>Other Current Assets</t>
  </si>
  <si>
    <t xml:space="preserve">PP&amp;E </t>
  </si>
  <si>
    <t>Intangible Assets</t>
  </si>
  <si>
    <t>Accounts Payable</t>
  </si>
  <si>
    <t>Accrued liabilities</t>
  </si>
  <si>
    <t>Deferred Revenue</t>
  </si>
  <si>
    <t xml:space="preserve">Total </t>
  </si>
  <si>
    <t>Existing Debt</t>
  </si>
  <si>
    <t>Capitalized Financing Fees</t>
  </si>
  <si>
    <t>Total Liabilities</t>
  </si>
  <si>
    <t>Shareholders Equity</t>
  </si>
  <si>
    <t>Total L + E</t>
  </si>
  <si>
    <t>Balance Check</t>
  </si>
  <si>
    <t>Step 5. Income Statement</t>
  </si>
  <si>
    <t>Income Statement</t>
  </si>
  <si>
    <t>2026E</t>
  </si>
  <si>
    <t>2027E</t>
  </si>
  <si>
    <t>2028E</t>
  </si>
  <si>
    <t>2029E</t>
  </si>
  <si>
    <t>2030E</t>
  </si>
  <si>
    <t>Gross Profit</t>
  </si>
  <si>
    <t>SG&amp;A</t>
  </si>
  <si>
    <t>PP&amp;E Assets Write-Up Depreciation</t>
  </si>
  <si>
    <t>Intangible Assets Write-Up Amortization</t>
  </si>
  <si>
    <t>Monitoring Fees</t>
  </si>
  <si>
    <t>Interest</t>
  </si>
  <si>
    <t>Amorization of Fees</t>
  </si>
  <si>
    <t>EBT</t>
  </si>
  <si>
    <t>Taxes</t>
  </si>
  <si>
    <t>Operating Assumptions</t>
  </si>
  <si>
    <t>Revenue Growth %</t>
  </si>
  <si>
    <t>NA</t>
  </si>
  <si>
    <t>Gross Margin</t>
  </si>
  <si>
    <t>SG&amp;A of Revenue %</t>
  </si>
  <si>
    <t>EBITDA Margin %</t>
  </si>
  <si>
    <t>D&amp;A of Revenue %</t>
  </si>
  <si>
    <t>Consulting Fees to Sponsor</t>
  </si>
  <si>
    <t>Step 6. Cash Flow Statement</t>
  </si>
  <si>
    <t>Cash Flow Statement</t>
  </si>
  <si>
    <t>Amortization fof Financing Fees</t>
  </si>
  <si>
    <t>PIK Interest</t>
  </si>
  <si>
    <t>PP&amp;E Assers Write-Up Amortization</t>
  </si>
  <si>
    <t>Deferred Tax Laibility Unwind</t>
  </si>
  <si>
    <t>Cash Flow from Operating Activities</t>
  </si>
  <si>
    <t>Cash Flow from Investing Activities</t>
  </si>
  <si>
    <t>Mandatory Amortization</t>
  </si>
  <si>
    <t>Free Cash Flow (Pre-Revolver)</t>
  </si>
  <si>
    <t>Revolver DrawDown / PayDown</t>
  </si>
  <si>
    <t>Free Cash Flow (Post-Revolver)</t>
  </si>
  <si>
    <t>Cash-Sweep</t>
  </si>
  <si>
    <t>Cash Flow from Financing Activities</t>
  </si>
  <si>
    <t>Beginnign Cash Balance</t>
  </si>
  <si>
    <t>Net Change in Cash Flow</t>
  </si>
  <si>
    <t>Ending Cash Balance</t>
  </si>
  <si>
    <t>CapEx of Revenue %</t>
  </si>
  <si>
    <t>Step 7. Debt Schedule</t>
  </si>
  <si>
    <t>Debt Schedule</t>
  </si>
  <si>
    <t>Euribor</t>
  </si>
  <si>
    <t>Beginning balance</t>
  </si>
  <si>
    <t>Revolver Paydown/Drawdown</t>
  </si>
  <si>
    <t>Ending Balance</t>
  </si>
  <si>
    <t>Tota; Revolver Capacity</t>
  </si>
  <si>
    <t>Beginning Available Capacity</t>
  </si>
  <si>
    <t>Ending Available Capacity</t>
  </si>
  <si>
    <t>Revolver Interest Rate</t>
  </si>
  <si>
    <t>Rate(E +)</t>
  </si>
  <si>
    <t>Revolver Interest Expenses</t>
  </si>
  <si>
    <t>Unused Revolver Commitment Fee</t>
  </si>
  <si>
    <t>Unused Commitment Fee</t>
  </si>
  <si>
    <t>Beginning Balance</t>
  </si>
  <si>
    <t>Cash Sweep</t>
  </si>
  <si>
    <t>TLB interest Rate</t>
  </si>
  <si>
    <t>TLB Interest Expense</t>
  </si>
  <si>
    <t>Amondatory Amortization</t>
  </si>
  <si>
    <t>Senior Notes Interest Rate</t>
  </si>
  <si>
    <t>Senior Notes Interest Expanses</t>
  </si>
  <si>
    <t>Subordianted Notes</t>
  </si>
  <si>
    <t>Sub Notes PIK Rate</t>
  </si>
  <si>
    <t>Sub Notes Interest Rate</t>
  </si>
  <si>
    <t>Sub Notes Cash Interest Expenses</t>
  </si>
  <si>
    <t>Sub Notes PIK Interest Expenses</t>
  </si>
  <si>
    <t>Interest Expenses Calculation</t>
  </si>
  <si>
    <t xml:space="preserve">Revolver </t>
  </si>
  <si>
    <t>Step 8. Balance Sheet</t>
  </si>
  <si>
    <t>Balance Sheet</t>
  </si>
  <si>
    <t xml:space="preserve">Cash </t>
  </si>
  <si>
    <t>Accounts Receivables</t>
  </si>
  <si>
    <t>Total Сurrent Assets</t>
  </si>
  <si>
    <t>PP&amp;E</t>
  </si>
  <si>
    <t>Intabgible Assets</t>
  </si>
  <si>
    <t>Accrued Liabilities</t>
  </si>
  <si>
    <t>Total</t>
  </si>
  <si>
    <t>Subordinated notes</t>
  </si>
  <si>
    <t>Toal L + E</t>
  </si>
  <si>
    <t>NWC Caclulation</t>
  </si>
  <si>
    <t>Current Assets</t>
  </si>
  <si>
    <t>Other Non-Current Assest</t>
  </si>
  <si>
    <t>Current Liabilities</t>
  </si>
  <si>
    <t>Net Working Capital</t>
  </si>
  <si>
    <t>Working Capital Drivers</t>
  </si>
  <si>
    <t>DSO</t>
  </si>
  <si>
    <t>Deferred Revenue  of  Revenue %</t>
  </si>
  <si>
    <t>Accrued Liabilities of Revenue %</t>
  </si>
  <si>
    <t>Other Current Assets of Revenue %</t>
  </si>
  <si>
    <t>Net Debt Calculation</t>
  </si>
  <si>
    <t>Financing Fees Amortization Period(years)</t>
  </si>
  <si>
    <t>Total Interest Expense</t>
  </si>
  <si>
    <t>BB100:I114</t>
  </si>
  <si>
    <t>Term Loan b</t>
  </si>
  <si>
    <t>Net Debt</t>
  </si>
  <si>
    <t>Step 9. Return Calculations</t>
  </si>
  <si>
    <t>Exit Valuation</t>
  </si>
  <si>
    <t>Exit LTM EBITDA</t>
  </si>
  <si>
    <t>Exit Multiple Assumption</t>
  </si>
  <si>
    <t>Exit Enterprice Value</t>
  </si>
  <si>
    <t>Exit Equity Value</t>
  </si>
  <si>
    <t>Sponsor Implied Ownership</t>
  </si>
  <si>
    <t>Total Proceeds for Sponsors</t>
  </si>
  <si>
    <t>Exit (Equity Value) Procees for Sponsors</t>
  </si>
  <si>
    <t>Cash Outflows/Inflows</t>
  </si>
  <si>
    <t>Year 0</t>
  </si>
  <si>
    <t>Year 1</t>
  </si>
  <si>
    <t>Year 2</t>
  </si>
  <si>
    <t>Year 3</t>
  </si>
  <si>
    <t>Year 4</t>
  </si>
  <si>
    <t>Year 5</t>
  </si>
  <si>
    <t>Exit Year 2026</t>
  </si>
  <si>
    <t>Exit Year 2027</t>
  </si>
  <si>
    <t>Exit Year 2028</t>
  </si>
  <si>
    <t>Exit Year 2029</t>
  </si>
  <si>
    <t>Exit Year 2030</t>
  </si>
  <si>
    <t>IRR</t>
  </si>
  <si>
    <t>MOIC</t>
  </si>
  <si>
    <t>Step 10. Sensitivity Analysis</t>
  </si>
  <si>
    <t>Exit Multiple</t>
  </si>
  <si>
    <t>Multiple on Invested Capital (MOIC)</t>
  </si>
  <si>
    <t>Internal Rate of Return (IRR)</t>
  </si>
  <si>
    <t xml:space="preserve">  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</si>
</sst>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x"/>
    <numFmt numFmtId="165" formatCode="General\A"/>
    <numFmt numFmtId="166" formatCode="General\x"/>
    <numFmt numFmtId="167" formatCode="0.000"/>
    <numFmt numFmtId="168" formatCode="#,##0\x"/>
  </numFmts>
  <fonts count="34">
    <font>
      <sz val="11"/>
      <color theme="1"/>
      <name val="Aptos Narrow"/>
      <family val="2"/>
      <charset val="204"/>
      <scheme val="minor"/>
    </font>
    <font>
      <b/>
      <sz val="14"/>
      <color theme="2"/>
      <name val="Aptos Narrow"/>
      <family val="2"/>
      <scheme val="minor"/>
    </font>
    <font>
      <sz val="12"/>
      <color theme="1"/>
      <name val="Aptos Narrow"/>
      <family val="2"/>
      <scheme val="minor"/>
    </font>
    <font>
      <b/>
      <sz val="13"/>
      <color theme="0"/>
      <name val="Aptos Narrow"/>
      <family val="2"/>
      <scheme val="minor"/>
    </font>
    <font>
      <b/>
      <sz val="11"/>
      <color theme="1"/>
      <name val="Aptos Narrow"/>
      <family val="2"/>
      <scheme val="minor"/>
    </font>
    <font>
      <b/>
      <sz val="11"/>
      <color theme="3" tint="0.499984740745262"/>
      <name val="Aptos Narrow"/>
      <family val="2"/>
      <scheme val="minor"/>
    </font>
    <font>
      <b/>
      <sz val="14"/>
      <color theme="1"/>
      <name val="Aptos Narrow"/>
      <family val="2"/>
      <scheme val="minor"/>
    </font>
    <font>
      <sz val="11"/>
      <color theme="1"/>
      <name val="Aptos Narrow"/>
      <family val="2"/>
      <scheme val="minor"/>
    </font>
    <font>
      <i/>
      <sz val="11"/>
      <color theme="1"/>
      <name val="Aptos Narrow"/>
      <family val="2"/>
      <scheme val="minor"/>
    </font>
    <font>
      <b/>
      <sz val="10"/>
      <color theme="3" tint="0.499984740745262"/>
      <name val="Google Sans Text"/>
      <charset val="204"/>
    </font>
    <font>
      <b/>
      <sz val="11"/>
      <color theme="6" tint="0.39997558519241921"/>
      <name val="Aptos Narrow"/>
      <family val="2"/>
      <scheme val="minor"/>
    </font>
    <font>
      <sz val="11"/>
      <color theme="1"/>
      <name val="Aptos Narrow"/>
      <family val="2"/>
      <charset val="204"/>
      <scheme val="minor"/>
    </font>
    <font>
      <b/>
      <sz val="11"/>
      <color theme="0"/>
      <name val="Aptos Narrow"/>
      <family val="2"/>
      <scheme val="minor"/>
    </font>
    <font>
      <b/>
      <sz val="18"/>
      <color theme="0"/>
      <name val="Aptos Narrow"/>
      <family val="2"/>
      <scheme val="minor"/>
    </font>
    <font>
      <b/>
      <sz val="12"/>
      <color theme="1"/>
      <name val="Aptos Narrow"/>
      <family val="2"/>
      <scheme val="minor"/>
    </font>
    <font>
      <b/>
      <sz val="14"/>
      <color theme="0"/>
      <name val="Aptos Narrow"/>
      <family val="2"/>
      <scheme val="minor"/>
    </font>
    <font>
      <b/>
      <sz val="11"/>
      <color theme="9" tint="0.39997558519241921"/>
      <name val="Aptos Narrow"/>
      <family val="2"/>
      <scheme val="minor"/>
    </font>
    <font>
      <b/>
      <sz val="16"/>
      <color rgb="FF00B050"/>
      <name val="Aptos Narrow"/>
      <family val="2"/>
      <scheme val="minor"/>
    </font>
    <font>
      <b/>
      <sz val="16"/>
      <color theme="2"/>
      <name val="Aptos Narrow"/>
      <family val="2"/>
      <scheme val="minor"/>
    </font>
    <font>
      <vertAlign val="superscript"/>
      <sz val="11"/>
      <color theme="1"/>
      <name val="Aptos Narrow"/>
      <family val="2"/>
      <scheme val="minor"/>
    </font>
    <font>
      <sz val="10"/>
      <color theme="1"/>
      <name val="Arial Unicode MS"/>
    </font>
    <font>
      <sz val="11"/>
      <color theme="6" tint="0.39997558519241921"/>
      <name val="Aptos Narrow"/>
      <family val="2"/>
      <charset val="204"/>
      <scheme val="minor"/>
    </font>
    <font>
      <b/>
      <sz val="11"/>
      <color theme="4" tint="0.39997558519241921"/>
      <name val="Aptos Narrow"/>
      <family val="2"/>
      <scheme val="minor"/>
    </font>
    <font>
      <b/>
      <u/>
      <sz val="11"/>
      <color theme="1"/>
      <name val="Aptos Narrow"/>
      <family val="2"/>
      <scheme val="minor"/>
    </font>
    <font>
      <u/>
      <sz val="11"/>
      <color theme="1"/>
      <name val="Aptos Narrow"/>
      <family val="2"/>
      <scheme val="minor"/>
    </font>
    <font>
      <sz val="11"/>
      <color theme="6" tint="0.39997558519241921"/>
      <name val="Aptos Narrow"/>
      <family val="2"/>
      <scheme val="minor"/>
    </font>
    <font>
      <b/>
      <i/>
      <sz val="11"/>
      <color theme="6" tint="0.39997558519241921"/>
      <name val="Aptos Narrow"/>
      <family val="2"/>
      <scheme val="minor"/>
    </font>
    <font>
      <b/>
      <i/>
      <sz val="11"/>
      <color theme="1"/>
      <name val="Aptos Narrow"/>
      <family val="2"/>
      <scheme val="minor"/>
    </font>
    <font>
      <sz val="8"/>
      <name val="Aptos Narrow"/>
      <family val="2"/>
      <charset val="204"/>
      <scheme val="minor"/>
    </font>
    <font>
      <b/>
      <sz val="11"/>
      <color rgb="FFCC0000"/>
      <name val="Aptos Narrow"/>
      <family val="2"/>
      <scheme val="minor"/>
    </font>
    <font>
      <b/>
      <sz val="11"/>
      <color rgb="FF00B050"/>
      <name val="Aptos Narrow"/>
      <family val="2"/>
      <scheme val="minor"/>
    </font>
    <font>
      <sz val="11"/>
      <color theme="0"/>
      <name val="Aptos Narrow"/>
      <family val="2"/>
      <charset val="204"/>
      <scheme val="minor"/>
    </font>
    <font>
      <b/>
      <sz val="18"/>
      <color theme="3" tint="0.249977111117893"/>
      <name val="Aptos Narrow"/>
      <family val="2"/>
      <scheme val="minor"/>
    </font>
    <font>
      <b/>
      <sz val="16"/>
      <color theme="3" tint="0.249977111117893"/>
      <name val="Aptos Narrow"/>
      <family val="2"/>
      <scheme val="minor"/>
    </font>
  </fonts>
  <fills count="12">
    <fill>
      <patternFill patternType="none"/>
    </fill>
    <fill>
      <patternFill patternType="gray125"/>
    </fill>
    <fill>
      <patternFill patternType="solid">
        <fgColor theme="3" tint="0.249977111117893"/>
        <bgColor indexed="64"/>
      </patternFill>
    </fill>
    <fill>
      <patternFill patternType="solid">
        <fgColor theme="3" tint="0.749992370372631"/>
        <bgColor indexed="64"/>
      </patternFill>
    </fill>
    <fill>
      <patternFill patternType="solid">
        <fgColor theme="3" tint="0.89999084444715716"/>
        <bgColor indexed="64"/>
      </patternFill>
    </fill>
    <fill>
      <patternFill patternType="solid">
        <fgColor theme="2" tint="-9.9978637043366805E-2"/>
        <bgColor indexed="64"/>
      </patternFill>
    </fill>
    <fill>
      <patternFill patternType="solid">
        <fgColor theme="0" tint="-0.249977111117893"/>
        <bgColor indexed="64"/>
      </patternFill>
    </fill>
    <fill>
      <patternFill patternType="solid">
        <fgColor rgb="FF0070C0"/>
        <bgColor indexed="64"/>
      </patternFill>
    </fill>
    <fill>
      <patternFill patternType="solid">
        <fgColor theme="0" tint="-4.9989318521683403E-2"/>
        <bgColor indexed="64"/>
      </patternFill>
    </fill>
    <fill>
      <patternFill patternType="solid">
        <fgColor rgb="FFFFFF99"/>
        <bgColor indexed="64"/>
      </patternFill>
    </fill>
    <fill>
      <patternFill patternType="solid">
        <fgColor rgb="FFEAEAEA"/>
        <bgColor indexed="64"/>
      </patternFill>
    </fill>
    <fill>
      <patternFill patternType="solid">
        <fgColor theme="0"/>
        <bgColor indexed="64"/>
      </patternFill>
    </fill>
  </fills>
  <borders count="28">
    <border>
      <left/>
      <right/>
      <top/>
      <bottom/>
      <diagonal/>
    </border>
    <border>
      <left/>
      <right/>
      <top/>
      <bottom style="medium">
        <color theme="3" tint="0.499984740745262"/>
      </bottom>
      <diagonal/>
    </border>
    <border>
      <left/>
      <right/>
      <top/>
      <bottom style="medium">
        <color theme="3" tint="0.24994659260841701"/>
      </bottom>
      <diagonal/>
    </border>
    <border>
      <left/>
      <right/>
      <top style="thin">
        <color auto="1"/>
      </top>
      <bottom style="thin">
        <color auto="1"/>
      </bottom>
      <diagonal/>
    </border>
    <border>
      <left/>
      <right/>
      <top/>
      <bottom style="thick">
        <color theme="3" tint="0.499984740745262"/>
      </bottom>
      <diagonal/>
    </border>
    <border>
      <left/>
      <right/>
      <top style="thick">
        <color theme="3" tint="0.499984740745262"/>
      </top>
      <bottom style="thin">
        <color indexed="64"/>
      </bottom>
      <diagonal/>
    </border>
    <border>
      <left/>
      <right/>
      <top style="thin">
        <color auto="1"/>
      </top>
      <bottom/>
      <diagonal/>
    </border>
    <border>
      <left/>
      <right/>
      <top/>
      <bottom style="thin">
        <color auto="1"/>
      </bottom>
      <diagonal/>
    </border>
    <border>
      <left style="thin">
        <color auto="1"/>
      </left>
      <right style="thin">
        <color auto="1"/>
      </right>
      <top style="thin">
        <color auto="1"/>
      </top>
      <bottom style="thin">
        <color auto="1"/>
      </bottom>
      <diagonal/>
    </border>
    <border>
      <left style="dashed">
        <color theme="7" tint="0.39994506668294322"/>
      </left>
      <right/>
      <top style="dashed">
        <color theme="7" tint="0.39994506668294322"/>
      </top>
      <bottom/>
      <diagonal/>
    </border>
    <border>
      <left/>
      <right/>
      <top style="dashed">
        <color theme="7" tint="0.39994506668294322"/>
      </top>
      <bottom/>
      <diagonal/>
    </border>
    <border>
      <left/>
      <right style="dashed">
        <color theme="7" tint="0.39994506668294322"/>
      </right>
      <top style="dashed">
        <color theme="7" tint="0.39994506668294322"/>
      </top>
      <bottom/>
      <diagonal/>
    </border>
    <border>
      <left style="dashed">
        <color theme="7" tint="0.39994506668294322"/>
      </left>
      <right/>
      <top/>
      <bottom/>
      <diagonal/>
    </border>
    <border>
      <left/>
      <right style="dashed">
        <color theme="7" tint="0.39994506668294322"/>
      </right>
      <top/>
      <bottom/>
      <diagonal/>
    </border>
    <border>
      <left style="dashed">
        <color theme="7" tint="0.39994506668294322"/>
      </left>
      <right/>
      <top/>
      <bottom style="dashed">
        <color theme="7" tint="0.39994506668294322"/>
      </bottom>
      <diagonal/>
    </border>
    <border>
      <left/>
      <right/>
      <top/>
      <bottom style="dashed">
        <color theme="7" tint="0.39994506668294322"/>
      </bottom>
      <diagonal/>
    </border>
    <border>
      <left/>
      <right style="dashed">
        <color theme="7" tint="0.39994506668294322"/>
      </right>
      <top/>
      <bottom style="dashed">
        <color theme="7" tint="0.39994506668294322"/>
      </bottom>
      <diagonal/>
    </border>
    <border>
      <left/>
      <right/>
      <top style="medium">
        <color auto="1"/>
      </top>
      <bottom/>
      <diagonal/>
    </border>
    <border>
      <left/>
      <right/>
      <top style="thick">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ck">
        <color auto="1"/>
      </top>
      <bottom style="thick">
        <color auto="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2">
    <xf numFmtId="0" fontId="0" fillId="0" borderId="0"/>
    <xf numFmtId="9" fontId="11" fillId="0" borderId="0" applyFont="0" applyFill="0" applyBorder="0" applyAlignment="0" applyProtection="0"/>
  </cellStyleXfs>
  <cellXfs count="246">
    <xf numFmtId="0" fontId="0" fillId="0" borderId="0" xfId="0"/>
    <xf numFmtId="0" fontId="0" fillId="2" borderId="0" xfId="0" applyFill="1"/>
    <xf numFmtId="0" fontId="1" fillId="0" borderId="0" xfId="0" applyFont="1"/>
    <xf numFmtId="0" fontId="2" fillId="3" borderId="0" xfId="0" applyFont="1" applyFill="1"/>
    <xf numFmtId="0" fontId="2" fillId="0" borderId="0" xfId="0" applyFont="1"/>
    <xf numFmtId="0" fontId="4" fillId="3" borderId="0" xfId="0" applyFont="1" applyFill="1"/>
    <xf numFmtId="0" fontId="4" fillId="0" borderId="0" xfId="0" applyFont="1"/>
    <xf numFmtId="2" fontId="0" fillId="0" borderId="0" xfId="0" applyNumberFormat="1"/>
    <xf numFmtId="2" fontId="4" fillId="0" borderId="0" xfId="0" applyNumberFormat="1" applyFont="1"/>
    <xf numFmtId="0" fontId="0" fillId="0" borderId="1" xfId="0" applyBorder="1"/>
    <xf numFmtId="0" fontId="0" fillId="0" borderId="2" xfId="0" applyBorder="1"/>
    <xf numFmtId="0" fontId="4" fillId="0" borderId="3" xfId="0" applyFont="1" applyBorder="1"/>
    <xf numFmtId="2" fontId="4" fillId="0" borderId="3" xfId="0" applyNumberFormat="1" applyFont="1" applyBorder="1"/>
    <xf numFmtId="2" fontId="5" fillId="0" borderId="0" xfId="0" applyNumberFormat="1" applyFont="1"/>
    <xf numFmtId="2" fontId="5" fillId="0" borderId="1" xfId="0" applyNumberFormat="1" applyFont="1" applyBorder="1"/>
    <xf numFmtId="2" fontId="5" fillId="0" borderId="2" xfId="0" applyNumberFormat="1" applyFont="1" applyBorder="1"/>
    <xf numFmtId="0" fontId="6" fillId="3" borderId="0" xfId="0" applyFont="1" applyFill="1"/>
    <xf numFmtId="0" fontId="4" fillId="4" borderId="0" xfId="0" applyFont="1" applyFill="1"/>
    <xf numFmtId="0" fontId="0" fillId="0" borderId="4" xfId="0" applyBorder="1"/>
    <xf numFmtId="0" fontId="4" fillId="0" borderId="5" xfId="0" applyFont="1" applyBorder="1"/>
    <xf numFmtId="2" fontId="5" fillId="0" borderId="4" xfId="0" applyNumberFormat="1" applyFont="1" applyBorder="1"/>
    <xf numFmtId="2" fontId="4" fillId="0" borderId="5" xfId="0" applyNumberFormat="1" applyFont="1" applyBorder="1"/>
    <xf numFmtId="0" fontId="5" fillId="0" borderId="0" xfId="0" applyFont="1"/>
    <xf numFmtId="0" fontId="5" fillId="0" borderId="1" xfId="0" applyFont="1" applyBorder="1"/>
    <xf numFmtId="2" fontId="4" fillId="0" borderId="6" xfId="0" applyNumberFormat="1" applyFont="1" applyBorder="1"/>
    <xf numFmtId="0" fontId="0" fillId="0" borderId="0" xfId="0" applyAlignment="1">
      <alignment wrapText="1"/>
    </xf>
    <xf numFmtId="2" fontId="5" fillId="0" borderId="0" xfId="0" applyNumberFormat="1" applyFont="1" applyAlignment="1">
      <alignment vertical="center"/>
    </xf>
    <xf numFmtId="0" fontId="5" fillId="0" borderId="4" xfId="0" applyFont="1" applyBorder="1"/>
    <xf numFmtId="0" fontId="0" fillId="0" borderId="7" xfId="0" applyBorder="1"/>
    <xf numFmtId="2" fontId="5" fillId="0" borderId="7" xfId="0" applyNumberFormat="1" applyFont="1" applyBorder="1"/>
    <xf numFmtId="0" fontId="7" fillId="0" borderId="7" xfId="0" applyFont="1" applyBorder="1"/>
    <xf numFmtId="0" fontId="8" fillId="0" borderId="7" xfId="0" applyFont="1" applyBorder="1" applyAlignment="1">
      <alignment wrapText="1"/>
    </xf>
    <xf numFmtId="2" fontId="9" fillId="0" borderId="0" xfId="0" applyNumberFormat="1" applyFont="1" applyAlignment="1">
      <alignment horizontal="right" wrapText="1"/>
    </xf>
    <xf numFmtId="2" fontId="9" fillId="0" borderId="7" xfId="0" applyNumberFormat="1" applyFont="1" applyBorder="1" applyAlignment="1">
      <alignment horizontal="right" wrapText="1"/>
    </xf>
    <xf numFmtId="2" fontId="5" fillId="0" borderId="7" xfId="0" applyNumberFormat="1" applyFont="1" applyBorder="1" applyAlignment="1">
      <alignment vertical="center"/>
    </xf>
    <xf numFmtId="2" fontId="10" fillId="0" borderId="0" xfId="0" applyNumberFormat="1" applyFont="1"/>
    <xf numFmtId="0" fontId="7" fillId="0" borderId="0" xfId="0" applyFont="1"/>
    <xf numFmtId="2" fontId="7" fillId="0" borderId="0" xfId="0" applyNumberFormat="1" applyFont="1"/>
    <xf numFmtId="0" fontId="8" fillId="0" borderId="0" xfId="0" applyFont="1"/>
    <xf numFmtId="0" fontId="0" fillId="0" borderId="7" xfId="0" applyBorder="1" applyAlignment="1">
      <alignment vertical="center"/>
    </xf>
    <xf numFmtId="2" fontId="10" fillId="0" borderId="7" xfId="0" applyNumberFormat="1" applyFont="1" applyBorder="1" applyAlignment="1">
      <alignment vertical="center"/>
    </xf>
    <xf numFmtId="0" fontId="4" fillId="0" borderId="0" xfId="0" applyFont="1" applyAlignment="1">
      <alignment vertical="center" wrapText="1"/>
    </xf>
    <xf numFmtId="2" fontId="4" fillId="0" borderId="0" xfId="0" applyNumberFormat="1" applyFont="1" applyAlignment="1">
      <alignment vertical="center"/>
    </xf>
    <xf numFmtId="2" fontId="10" fillId="0" borderId="3" xfId="0" applyNumberFormat="1" applyFont="1" applyBorder="1"/>
    <xf numFmtId="0" fontId="8" fillId="0" borderId="6" xfId="0" applyFont="1" applyBorder="1"/>
    <xf numFmtId="2" fontId="5" fillId="0" borderId="6" xfId="0" applyNumberFormat="1" applyFont="1" applyBorder="1"/>
    <xf numFmtId="0" fontId="8" fillId="0" borderId="7" xfId="0" applyFont="1" applyBorder="1"/>
    <xf numFmtId="0" fontId="4" fillId="0" borderId="3" xfId="0" applyFont="1" applyBorder="1" applyAlignment="1">
      <alignment vertical="center" wrapText="1"/>
    </xf>
    <xf numFmtId="2" fontId="4" fillId="0" borderId="3" xfId="0" applyNumberFormat="1" applyFont="1" applyBorder="1" applyAlignment="1">
      <alignment vertical="center"/>
    </xf>
    <xf numFmtId="0" fontId="12" fillId="2" borderId="0" xfId="0" applyFont="1" applyFill="1"/>
    <xf numFmtId="9" fontId="0" fillId="0" borderId="0" xfId="0" applyNumberFormat="1"/>
    <xf numFmtId="10" fontId="0" fillId="0" borderId="0" xfId="0" applyNumberFormat="1"/>
    <xf numFmtId="10" fontId="0" fillId="0" borderId="7" xfId="0" applyNumberFormat="1" applyBorder="1"/>
    <xf numFmtId="164" fontId="0" fillId="0" borderId="0" xfId="0" applyNumberFormat="1"/>
    <xf numFmtId="1" fontId="0" fillId="0" borderId="0" xfId="0" applyNumberFormat="1"/>
    <xf numFmtId="0" fontId="8" fillId="0" borderId="9" xfId="0" applyFont="1" applyBorder="1"/>
    <xf numFmtId="0" fontId="0" fillId="0" borderId="10" xfId="0" applyBorder="1"/>
    <xf numFmtId="10" fontId="0" fillId="0" borderId="10" xfId="0" applyNumberFormat="1" applyBorder="1"/>
    <xf numFmtId="10" fontId="0" fillId="0" borderId="11" xfId="0" applyNumberFormat="1" applyBorder="1"/>
    <xf numFmtId="0" fontId="8" fillId="0" borderId="12" xfId="0" applyFont="1" applyBorder="1"/>
    <xf numFmtId="10" fontId="0" fillId="0" borderId="13" xfId="0" applyNumberFormat="1" applyBorder="1"/>
    <xf numFmtId="0" fontId="0" fillId="0" borderId="12" xfId="0" applyBorder="1"/>
    <xf numFmtId="0" fontId="0" fillId="0" borderId="14" xfId="0" applyBorder="1"/>
    <xf numFmtId="0" fontId="0" fillId="0" borderId="15" xfId="0" applyBorder="1"/>
    <xf numFmtId="10" fontId="0" fillId="0" borderId="15" xfId="0" applyNumberFormat="1" applyBorder="1"/>
    <xf numFmtId="10" fontId="0" fillId="0" borderId="16" xfId="0" applyNumberFormat="1" applyBorder="1"/>
    <xf numFmtId="0" fontId="0" fillId="0" borderId="9" xfId="0" applyBorder="1"/>
    <xf numFmtId="10" fontId="0" fillId="0" borderId="10" xfId="1" applyNumberFormat="1" applyFont="1" applyBorder="1"/>
    <xf numFmtId="10" fontId="0" fillId="0" borderId="11" xfId="1" applyNumberFormat="1" applyFont="1" applyBorder="1"/>
    <xf numFmtId="164" fontId="0" fillId="0" borderId="15" xfId="0" applyNumberFormat="1" applyBorder="1"/>
    <xf numFmtId="164" fontId="0" fillId="0" borderId="16" xfId="0" applyNumberFormat="1" applyBorder="1"/>
    <xf numFmtId="164" fontId="0" fillId="0" borderId="10" xfId="0" applyNumberFormat="1" applyBorder="1"/>
    <xf numFmtId="164" fontId="0" fillId="0" borderId="11" xfId="0" applyNumberFormat="1" applyBorder="1"/>
    <xf numFmtId="164" fontId="0" fillId="0" borderId="13" xfId="0" applyNumberFormat="1" applyBorder="1"/>
    <xf numFmtId="1" fontId="0" fillId="0" borderId="10" xfId="0" applyNumberFormat="1" applyBorder="1"/>
    <xf numFmtId="1" fontId="0" fillId="0" borderId="11" xfId="0" applyNumberFormat="1" applyBorder="1"/>
    <xf numFmtId="1" fontId="0" fillId="0" borderId="13" xfId="0" applyNumberFormat="1" applyBorder="1"/>
    <xf numFmtId="1" fontId="0" fillId="0" borderId="15" xfId="0" applyNumberFormat="1" applyBorder="1"/>
    <xf numFmtId="1" fontId="0" fillId="0" borderId="16" xfId="0" applyNumberFormat="1" applyBorder="1"/>
    <xf numFmtId="0" fontId="3" fillId="2" borderId="0" xfId="0" applyFont="1" applyFill="1" applyAlignment="1">
      <alignment vertical="center"/>
    </xf>
    <xf numFmtId="0" fontId="0" fillId="0" borderId="17" xfId="0" applyBorder="1"/>
    <xf numFmtId="2" fontId="16" fillId="0" borderId="0" xfId="0" applyNumberFormat="1" applyFont="1"/>
    <xf numFmtId="10" fontId="4" fillId="0" borderId="0" xfId="0" applyNumberFormat="1" applyFont="1"/>
    <xf numFmtId="0" fontId="17" fillId="0" borderId="0" xfId="0" applyFont="1"/>
    <xf numFmtId="0" fontId="18" fillId="2" borderId="0" xfId="0" applyFont="1" applyFill="1"/>
    <xf numFmtId="0" fontId="4" fillId="5" borderId="0" xfId="0" applyFont="1" applyFill="1"/>
    <xf numFmtId="2" fontId="4" fillId="5" borderId="0" xfId="0" applyNumberFormat="1" applyFont="1" applyFill="1"/>
    <xf numFmtId="10" fontId="4" fillId="5" borderId="0" xfId="0" applyNumberFormat="1" applyFont="1" applyFill="1"/>
    <xf numFmtId="165" fontId="0" fillId="0" borderId="0" xfId="0" applyNumberFormat="1"/>
    <xf numFmtId="0" fontId="0" fillId="0" borderId="8" xfId="0" applyBorder="1"/>
    <xf numFmtId="10" fontId="0" fillId="0" borderId="8" xfId="0" applyNumberFormat="1" applyBorder="1"/>
    <xf numFmtId="0" fontId="20" fillId="0" borderId="0" xfId="0" applyFont="1"/>
    <xf numFmtId="10" fontId="0" fillId="0" borderId="8" xfId="1" applyNumberFormat="1" applyFont="1" applyBorder="1"/>
    <xf numFmtId="0" fontId="20" fillId="0" borderId="8" xfId="0" applyFont="1" applyBorder="1"/>
    <xf numFmtId="0" fontId="0" fillId="0" borderId="6" xfId="0" applyBorder="1"/>
    <xf numFmtId="9" fontId="0" fillId="0" borderId="6" xfId="0" applyNumberFormat="1" applyBorder="1"/>
    <xf numFmtId="2" fontId="0" fillId="0" borderId="6" xfId="0" applyNumberFormat="1" applyBorder="1"/>
    <xf numFmtId="9" fontId="0" fillId="0" borderId="7" xfId="0" applyNumberFormat="1" applyBorder="1"/>
    <xf numFmtId="2" fontId="0" fillId="0" borderId="7" xfId="0" applyNumberFormat="1" applyBorder="1"/>
    <xf numFmtId="0" fontId="4" fillId="0" borderId="6" xfId="0" applyFont="1" applyBorder="1"/>
    <xf numFmtId="0" fontId="4" fillId="0" borderId="7" xfId="0" applyFont="1" applyBorder="1"/>
    <xf numFmtId="10" fontId="5" fillId="0" borderId="0" xfId="0" applyNumberFormat="1" applyFont="1"/>
    <xf numFmtId="9" fontId="4" fillId="0" borderId="0" xfId="0" applyNumberFormat="1" applyFont="1"/>
    <xf numFmtId="10" fontId="4" fillId="0" borderId="6" xfId="0" applyNumberFormat="1" applyFont="1" applyBorder="1"/>
    <xf numFmtId="0" fontId="18" fillId="0" borderId="0" xfId="0" applyFont="1"/>
    <xf numFmtId="10" fontId="4" fillId="6" borderId="0" xfId="0" applyNumberFormat="1" applyFont="1" applyFill="1"/>
    <xf numFmtId="2" fontId="4" fillId="6" borderId="0" xfId="0" applyNumberFormat="1" applyFont="1" applyFill="1"/>
    <xf numFmtId="10" fontId="10" fillId="0" borderId="0" xfId="0" applyNumberFormat="1" applyFont="1"/>
    <xf numFmtId="0" fontId="12" fillId="7" borderId="0" xfId="0" applyFont="1" applyFill="1"/>
    <xf numFmtId="0" fontId="4" fillId="0" borderId="18" xfId="0" applyFont="1" applyBorder="1"/>
    <xf numFmtId="2" fontId="4" fillId="0" borderId="18" xfId="0" applyNumberFormat="1" applyFont="1" applyBorder="1"/>
    <xf numFmtId="0" fontId="4" fillId="0" borderId="19" xfId="0" applyFont="1" applyBorder="1"/>
    <xf numFmtId="2" fontId="4" fillId="0" borderId="20" xfId="0" applyNumberFormat="1" applyFont="1" applyBorder="1"/>
    <xf numFmtId="0" fontId="0" fillId="0" borderId="21" xfId="0" applyBorder="1"/>
    <xf numFmtId="0" fontId="4" fillId="0" borderId="21" xfId="0" applyFont="1" applyBorder="1"/>
    <xf numFmtId="0" fontId="4" fillId="4" borderId="7" xfId="0" applyFont="1" applyFill="1" applyBorder="1"/>
    <xf numFmtId="0" fontId="0" fillId="4" borderId="7" xfId="0" applyFill="1" applyBorder="1"/>
    <xf numFmtId="164" fontId="0" fillId="0" borderId="7" xfId="0" applyNumberFormat="1" applyBorder="1"/>
    <xf numFmtId="2" fontId="21" fillId="0" borderId="0" xfId="0" applyNumberFormat="1" applyFont="1"/>
    <xf numFmtId="164" fontId="22" fillId="0" borderId="7" xfId="0" applyNumberFormat="1" applyFont="1" applyBorder="1"/>
    <xf numFmtId="0" fontId="0" fillId="0" borderId="0" xfId="0" applyAlignment="1">
      <alignment horizontal="right"/>
    </xf>
    <xf numFmtId="2" fontId="22" fillId="0" borderId="0" xfId="0" applyNumberFormat="1" applyFont="1"/>
    <xf numFmtId="10" fontId="22" fillId="0" borderId="0" xfId="0" applyNumberFormat="1" applyFont="1"/>
    <xf numFmtId="0" fontId="22" fillId="0" borderId="0" xfId="0" applyFont="1" applyAlignment="1">
      <alignment horizontal="right"/>
    </xf>
    <xf numFmtId="0" fontId="22" fillId="0" borderId="0" xfId="0" applyFont="1"/>
    <xf numFmtId="0" fontId="0" fillId="0" borderId="0" xfId="0" applyAlignment="1">
      <alignment horizontal="center"/>
    </xf>
    <xf numFmtId="0" fontId="23" fillId="0" borderId="0" xfId="0" applyFont="1" applyAlignment="1">
      <alignment horizontal="right"/>
    </xf>
    <xf numFmtId="0" fontId="23" fillId="0" borderId="0" xfId="0" applyFont="1"/>
    <xf numFmtId="0" fontId="23" fillId="0" borderId="0" xfId="0" applyFont="1" applyAlignment="1">
      <alignment horizontal="center"/>
    </xf>
    <xf numFmtId="9" fontId="0" fillId="0" borderId="0" xfId="0" applyNumberFormat="1" applyAlignment="1">
      <alignment horizontal="center"/>
    </xf>
    <xf numFmtId="0" fontId="0" fillId="0" borderId="7" xfId="0" applyBorder="1" applyAlignment="1">
      <alignment horizontal="center"/>
    </xf>
    <xf numFmtId="10" fontId="22" fillId="0" borderId="7" xfId="0" applyNumberFormat="1" applyFont="1" applyBorder="1"/>
    <xf numFmtId="166" fontId="4" fillId="0" borderId="0" xfId="0" applyNumberFormat="1" applyFont="1"/>
    <xf numFmtId="167" fontId="0" fillId="0" borderId="0" xfId="0" applyNumberFormat="1"/>
    <xf numFmtId="167" fontId="0" fillId="0" borderId="7" xfId="0" applyNumberFormat="1" applyBorder="1"/>
    <xf numFmtId="167" fontId="4" fillId="0" borderId="0" xfId="0" applyNumberFormat="1" applyFont="1"/>
    <xf numFmtId="0" fontId="23" fillId="4" borderId="0" xfId="0" applyFont="1" applyFill="1"/>
    <xf numFmtId="0" fontId="24" fillId="4" borderId="0" xfId="0" applyFont="1" applyFill="1"/>
    <xf numFmtId="9" fontId="22" fillId="0" borderId="0" xfId="0" applyNumberFormat="1" applyFont="1"/>
    <xf numFmtId="0" fontId="4" fillId="4" borderId="0" xfId="0" applyFont="1" applyFill="1" applyAlignment="1">
      <alignment horizontal="center"/>
    </xf>
    <xf numFmtId="0" fontId="4" fillId="4" borderId="0" xfId="0" applyFont="1" applyFill="1" applyAlignment="1">
      <alignment horizontal="right"/>
    </xf>
    <xf numFmtId="2" fontId="0" fillId="0" borderId="0" xfId="0" applyNumberFormat="1" applyAlignment="1">
      <alignment horizontal="right"/>
    </xf>
    <xf numFmtId="2" fontId="0" fillId="0" borderId="0" xfId="0" applyNumberFormat="1" applyAlignment="1">
      <alignment horizontal="center"/>
    </xf>
    <xf numFmtId="2" fontId="0" fillId="0" borderId="7" xfId="0" applyNumberFormat="1" applyBorder="1" applyAlignment="1">
      <alignment horizontal="right"/>
    </xf>
    <xf numFmtId="2" fontId="4" fillId="0" borderId="0" xfId="0" applyNumberFormat="1" applyFont="1" applyAlignment="1">
      <alignment horizontal="right"/>
    </xf>
    <xf numFmtId="2" fontId="25" fillId="0" borderId="0" xfId="0" applyNumberFormat="1" applyFont="1"/>
    <xf numFmtId="2" fontId="21" fillId="0" borderId="7" xfId="0" applyNumberFormat="1" applyFont="1" applyBorder="1"/>
    <xf numFmtId="2" fontId="7" fillId="0" borderId="7" xfId="0" applyNumberFormat="1" applyFont="1" applyBorder="1"/>
    <xf numFmtId="2" fontId="25" fillId="0" borderId="7" xfId="0" applyNumberFormat="1" applyFont="1" applyBorder="1"/>
    <xf numFmtId="2" fontId="10" fillId="0" borderId="6" xfId="0" applyNumberFormat="1" applyFont="1" applyBorder="1"/>
    <xf numFmtId="2" fontId="8" fillId="0" borderId="0" xfId="0" applyNumberFormat="1" applyFont="1"/>
    <xf numFmtId="0" fontId="4" fillId="4" borderId="0" xfId="0" applyFont="1" applyFill="1" applyAlignment="1">
      <alignment horizontal="left"/>
    </xf>
    <xf numFmtId="0" fontId="8" fillId="8" borderId="7" xfId="0" applyFont="1" applyFill="1" applyBorder="1"/>
    <xf numFmtId="0" fontId="4" fillId="8" borderId="7" xfId="0" applyFont="1" applyFill="1" applyBorder="1"/>
    <xf numFmtId="10" fontId="8" fillId="0" borderId="0" xfId="0" applyNumberFormat="1" applyFont="1"/>
    <xf numFmtId="0" fontId="8" fillId="0" borderId="0" xfId="0" applyFont="1" applyAlignment="1">
      <alignment horizontal="right"/>
    </xf>
    <xf numFmtId="2" fontId="0" fillId="0" borderId="7" xfId="0" applyNumberFormat="1" applyBorder="1" applyAlignment="1">
      <alignment horizontal="center"/>
    </xf>
    <xf numFmtId="2" fontId="4" fillId="0" borderId="0" xfId="0" applyNumberFormat="1" applyFont="1" applyAlignment="1">
      <alignment horizontal="center"/>
    </xf>
    <xf numFmtId="2" fontId="7" fillId="0" borderId="7" xfId="0" applyNumberFormat="1" applyFont="1" applyBorder="1" applyAlignment="1">
      <alignment horizontal="center"/>
    </xf>
    <xf numFmtId="4" fontId="0" fillId="0" borderId="0" xfId="0" applyNumberFormat="1"/>
    <xf numFmtId="4" fontId="8" fillId="0" borderId="0" xfId="0" applyNumberFormat="1" applyFont="1"/>
    <xf numFmtId="4" fontId="0" fillId="0" borderId="7" xfId="0" applyNumberFormat="1" applyBorder="1"/>
    <xf numFmtId="4" fontId="0" fillId="0" borderId="7" xfId="0" applyNumberFormat="1" applyBorder="1" applyAlignment="1">
      <alignment horizontal="center"/>
    </xf>
    <xf numFmtId="4" fontId="4" fillId="0" borderId="0" xfId="0" applyNumberFormat="1" applyFont="1"/>
    <xf numFmtId="0" fontId="0" fillId="8" borderId="0" xfId="0" applyFill="1"/>
    <xf numFmtId="0" fontId="4" fillId="8" borderId="0" xfId="0" applyFont="1" applyFill="1"/>
    <xf numFmtId="0" fontId="0" fillId="4" borderId="0" xfId="0" applyFill="1"/>
    <xf numFmtId="0" fontId="5" fillId="0" borderId="0" xfId="0" applyFont="1" applyAlignment="1">
      <alignment horizontal="center"/>
    </xf>
    <xf numFmtId="10" fontId="0" fillId="0" borderId="0" xfId="0" applyNumberFormat="1" applyAlignment="1">
      <alignment horizontal="center"/>
    </xf>
    <xf numFmtId="10" fontId="5" fillId="0" borderId="0" xfId="0" applyNumberFormat="1" applyFont="1" applyAlignment="1">
      <alignment horizontal="center"/>
    </xf>
    <xf numFmtId="0" fontId="23" fillId="8" borderId="0" xfId="0" applyFont="1" applyFill="1"/>
    <xf numFmtId="0" fontId="7" fillId="8" borderId="0" xfId="0" applyFont="1" applyFill="1"/>
    <xf numFmtId="0" fontId="4" fillId="4" borderId="7" xfId="0" applyFont="1" applyFill="1" applyBorder="1" applyAlignment="1">
      <alignment horizontal="center"/>
    </xf>
    <xf numFmtId="2" fontId="25" fillId="0" borderId="0" xfId="0" applyNumberFormat="1" applyFont="1" applyAlignment="1">
      <alignment horizontal="center"/>
    </xf>
    <xf numFmtId="2" fontId="25" fillId="0" borderId="7" xfId="0" applyNumberFormat="1" applyFont="1" applyBorder="1" applyAlignment="1">
      <alignment horizontal="center"/>
    </xf>
    <xf numFmtId="2" fontId="10" fillId="0" borderId="0" xfId="0" applyNumberFormat="1" applyFont="1" applyAlignment="1">
      <alignment horizontal="center"/>
    </xf>
    <xf numFmtId="2" fontId="21" fillId="0" borderId="0" xfId="0" applyNumberFormat="1" applyFont="1" applyAlignment="1">
      <alignment horizontal="center"/>
    </xf>
    <xf numFmtId="2" fontId="21" fillId="0" borderId="7" xfId="0" applyNumberFormat="1" applyFont="1" applyBorder="1" applyAlignment="1">
      <alignment horizontal="center"/>
    </xf>
    <xf numFmtId="3" fontId="8" fillId="0" borderId="0" xfId="0" applyNumberFormat="1" applyFont="1"/>
    <xf numFmtId="3" fontId="26" fillId="0" borderId="0" xfId="0" applyNumberFormat="1" applyFont="1"/>
    <xf numFmtId="4" fontId="0" fillId="0" borderId="6" xfId="0" applyNumberFormat="1" applyBorder="1"/>
    <xf numFmtId="2" fontId="0" fillId="0" borderId="0" xfId="0" applyNumberFormat="1" applyAlignment="1">
      <alignment horizontal="center" vertical="center"/>
    </xf>
    <xf numFmtId="4" fontId="0" fillId="0" borderId="0" xfId="0" applyNumberFormat="1" applyAlignment="1">
      <alignment horizontal="center" vertical="center"/>
    </xf>
    <xf numFmtId="4" fontId="4" fillId="0" borderId="0" xfId="0" applyNumberFormat="1" applyFont="1" applyAlignment="1">
      <alignment horizontal="center"/>
    </xf>
    <xf numFmtId="4" fontId="0" fillId="0" borderId="0" xfId="0" applyNumberFormat="1" applyAlignment="1">
      <alignment horizontal="center"/>
    </xf>
    <xf numFmtId="0" fontId="27" fillId="0" borderId="0" xfId="0" applyFont="1"/>
    <xf numFmtId="2" fontId="8" fillId="0" borderId="7" xfId="0" applyNumberFormat="1" applyFont="1" applyBorder="1"/>
    <xf numFmtId="4" fontId="27" fillId="0" borderId="0" xfId="0" applyNumberFormat="1" applyFont="1"/>
    <xf numFmtId="164" fontId="5" fillId="0" borderId="7" xfId="0" applyNumberFormat="1" applyFont="1" applyBorder="1" applyAlignment="1">
      <alignment horizontal="center"/>
    </xf>
    <xf numFmtId="10" fontId="8" fillId="0" borderId="7" xfId="0" applyNumberFormat="1" applyFont="1" applyBorder="1" applyAlignment="1">
      <alignment horizontal="center"/>
    </xf>
    <xf numFmtId="0" fontId="4" fillId="0" borderId="0" xfId="0" applyFont="1" applyAlignment="1">
      <alignment horizontal="center"/>
    </xf>
    <xf numFmtId="0" fontId="7" fillId="8" borderId="7" xfId="0" applyFont="1" applyFill="1" applyBorder="1"/>
    <xf numFmtId="0" fontId="4" fillId="8" borderId="7" xfId="0" applyFont="1" applyFill="1" applyBorder="1" applyAlignment="1">
      <alignment horizontal="center"/>
    </xf>
    <xf numFmtId="14" fontId="8" fillId="0" borderId="0" xfId="0" applyNumberFormat="1" applyFont="1" applyAlignment="1">
      <alignment horizontal="center"/>
    </xf>
    <xf numFmtId="2" fontId="29" fillId="0" borderId="0" xfId="0" applyNumberFormat="1" applyFont="1" applyAlignment="1">
      <alignment horizontal="center"/>
    </xf>
    <xf numFmtId="4" fontId="30" fillId="0" borderId="0" xfId="0" applyNumberFormat="1" applyFont="1" applyAlignment="1">
      <alignment horizontal="center"/>
    </xf>
    <xf numFmtId="0" fontId="30" fillId="0" borderId="0" xfId="0" applyFont="1" applyAlignment="1">
      <alignment horizontal="center"/>
    </xf>
    <xf numFmtId="0" fontId="4" fillId="9" borderId="22" xfId="0" applyFont="1" applyFill="1" applyBorder="1"/>
    <xf numFmtId="0" fontId="0" fillId="9" borderId="6" xfId="0" applyFill="1" applyBorder="1"/>
    <xf numFmtId="0" fontId="0" fillId="9" borderId="6" xfId="0" applyFill="1" applyBorder="1" applyAlignment="1">
      <alignment horizontal="center"/>
    </xf>
    <xf numFmtId="10" fontId="27" fillId="9" borderId="6" xfId="0" applyNumberFormat="1" applyFont="1" applyFill="1" applyBorder="1" applyAlignment="1">
      <alignment horizontal="center"/>
    </xf>
    <xf numFmtId="10" fontId="27" fillId="9" borderId="23" xfId="0" applyNumberFormat="1" applyFont="1" applyFill="1" applyBorder="1" applyAlignment="1">
      <alignment horizontal="center"/>
    </xf>
    <xf numFmtId="0" fontId="4" fillId="9" borderId="24" xfId="0" applyFont="1" applyFill="1" applyBorder="1"/>
    <xf numFmtId="0" fontId="0" fillId="9" borderId="7" xfId="0" applyFill="1" applyBorder="1"/>
    <xf numFmtId="0" fontId="0" fillId="9" borderId="7" xfId="0" applyFill="1" applyBorder="1" applyAlignment="1">
      <alignment horizontal="center"/>
    </xf>
    <xf numFmtId="4" fontId="27" fillId="9" borderId="7" xfId="0" applyNumberFormat="1" applyFont="1" applyFill="1" applyBorder="1" applyAlignment="1">
      <alignment horizontal="center"/>
    </xf>
    <xf numFmtId="4" fontId="27" fillId="9" borderId="25" xfId="0" applyNumberFormat="1" applyFont="1" applyFill="1" applyBorder="1" applyAlignment="1">
      <alignment horizontal="center"/>
    </xf>
    <xf numFmtId="0" fontId="4" fillId="0" borderId="0" xfId="0" applyFont="1" applyAlignment="1">
      <alignment horizontal="right"/>
    </xf>
    <xf numFmtId="168" fontId="0" fillId="0" borderId="0" xfId="0" applyNumberFormat="1" applyAlignment="1">
      <alignment horizontal="left"/>
    </xf>
    <xf numFmtId="168" fontId="22" fillId="0" borderId="0" xfId="0" applyNumberFormat="1" applyFont="1" applyAlignment="1">
      <alignment horizontal="left"/>
    </xf>
    <xf numFmtId="168" fontId="0" fillId="0" borderId="0" xfId="0" applyNumberFormat="1" applyAlignment="1">
      <alignment horizontal="center"/>
    </xf>
    <xf numFmtId="10" fontId="0" fillId="0" borderId="22" xfId="0" applyNumberFormat="1" applyBorder="1" applyAlignment="1">
      <alignment horizontal="left"/>
    </xf>
    <xf numFmtId="10" fontId="0" fillId="0" borderId="6" xfId="0" applyNumberFormat="1" applyBorder="1" applyAlignment="1">
      <alignment horizontal="left"/>
    </xf>
    <xf numFmtId="10" fontId="0" fillId="0" borderId="23" xfId="0" applyNumberFormat="1" applyBorder="1" applyAlignment="1">
      <alignment horizontal="left"/>
    </xf>
    <xf numFmtId="10" fontId="0" fillId="0" borderId="26" xfId="0" applyNumberFormat="1" applyBorder="1" applyAlignment="1">
      <alignment horizontal="left"/>
    </xf>
    <xf numFmtId="10" fontId="0" fillId="0" borderId="0" xfId="0" applyNumberFormat="1" applyAlignment="1">
      <alignment horizontal="left"/>
    </xf>
    <xf numFmtId="10" fontId="0" fillId="0" borderId="27" xfId="0" applyNumberFormat="1" applyBorder="1" applyAlignment="1">
      <alignment horizontal="left"/>
    </xf>
    <xf numFmtId="10" fontId="0" fillId="0" borderId="24" xfId="0" applyNumberFormat="1" applyBorder="1" applyAlignment="1">
      <alignment horizontal="left"/>
    </xf>
    <xf numFmtId="10" fontId="0" fillId="0" borderId="7" xfId="0" applyNumberFormat="1" applyBorder="1" applyAlignment="1">
      <alignment horizontal="left"/>
    </xf>
    <xf numFmtId="10" fontId="0" fillId="0" borderId="25" xfId="0" applyNumberFormat="1" applyBorder="1" applyAlignment="1">
      <alignment horizontal="left"/>
    </xf>
    <xf numFmtId="4" fontId="0" fillId="0" borderId="22" xfId="0" applyNumberFormat="1" applyBorder="1" applyAlignment="1">
      <alignment horizontal="left"/>
    </xf>
    <xf numFmtId="4" fontId="0" fillId="0" borderId="6" xfId="0" applyNumberFormat="1" applyBorder="1" applyAlignment="1">
      <alignment horizontal="left"/>
    </xf>
    <xf numFmtId="4" fontId="0" fillId="0" borderId="23" xfId="0" applyNumberFormat="1" applyBorder="1" applyAlignment="1">
      <alignment horizontal="left"/>
    </xf>
    <xf numFmtId="4" fontId="0" fillId="0" borderId="26" xfId="0" applyNumberFormat="1" applyBorder="1" applyAlignment="1">
      <alignment horizontal="left"/>
    </xf>
    <xf numFmtId="4" fontId="0" fillId="0" borderId="0" xfId="0" applyNumberFormat="1" applyAlignment="1">
      <alignment horizontal="left"/>
    </xf>
    <xf numFmtId="4" fontId="0" fillId="0" borderId="27" xfId="0" applyNumberFormat="1" applyBorder="1" applyAlignment="1">
      <alignment horizontal="left"/>
    </xf>
    <xf numFmtId="4" fontId="0" fillId="0" borderId="24" xfId="0" applyNumberFormat="1" applyBorder="1" applyAlignment="1">
      <alignment horizontal="left"/>
    </xf>
    <xf numFmtId="4" fontId="0" fillId="0" borderId="7" xfId="0" applyNumberFormat="1" applyBorder="1" applyAlignment="1">
      <alignment horizontal="left"/>
    </xf>
    <xf numFmtId="4" fontId="0" fillId="0" borderId="25" xfId="0" applyNumberFormat="1" applyBorder="1" applyAlignment="1">
      <alignment horizontal="left"/>
    </xf>
    <xf numFmtId="168" fontId="7" fillId="0" borderId="0" xfId="0" applyNumberFormat="1" applyFont="1" applyAlignment="1">
      <alignment horizontal="center"/>
    </xf>
    <xf numFmtId="168" fontId="5" fillId="0" borderId="0" xfId="0" applyNumberFormat="1" applyFont="1" applyAlignment="1">
      <alignment horizontal="center"/>
    </xf>
    <xf numFmtId="0" fontId="4" fillId="10" borderId="19" xfId="0" applyFont="1" applyFill="1" applyBorder="1" applyAlignment="1">
      <alignment horizontal="center"/>
    </xf>
    <xf numFmtId="0" fontId="4" fillId="10" borderId="3" xfId="0" applyFont="1" applyFill="1" applyBorder="1" applyAlignment="1">
      <alignment horizontal="center"/>
    </xf>
    <xf numFmtId="0" fontId="4" fillId="10" borderId="20" xfId="0" applyFont="1" applyFill="1" applyBorder="1" applyAlignment="1">
      <alignment horizontal="center"/>
    </xf>
    <xf numFmtId="0" fontId="13" fillId="2" borderId="0" xfId="0" applyFont="1" applyFill="1" applyAlignment="1">
      <alignment horizontal="center" vertical="center"/>
    </xf>
    <xf numFmtId="0" fontId="4" fillId="4" borderId="0" xfId="0" applyFont="1" applyFill="1" applyAlignment="1">
      <alignment horizontal="center"/>
    </xf>
    <xf numFmtId="0" fontId="3" fillId="2" borderId="0" xfId="0" applyFont="1" applyFill="1" applyAlignment="1">
      <alignment horizontal="left" vertical="center"/>
    </xf>
    <xf numFmtId="0" fontId="14" fillId="0" borderId="0" xfId="0" applyFont="1" applyAlignment="1">
      <alignment horizontal="center" wrapText="1"/>
    </xf>
    <xf numFmtId="0" fontId="3" fillId="2" borderId="0" xfId="0" applyFont="1" applyFill="1" applyAlignment="1">
      <alignment horizontal="center" vertical="center"/>
    </xf>
    <xf numFmtId="0" fontId="15" fillId="2" borderId="0" xfId="0" applyFont="1" applyFill="1" applyAlignment="1">
      <alignment horizontal="center"/>
    </xf>
    <xf numFmtId="0" fontId="32" fillId="0" borderId="0" xfId="0" applyFont="1"/>
    <xf numFmtId="0" fontId="33" fillId="0" borderId="6" xfId="0" applyFont="1" applyBorder="1"/>
    <xf numFmtId="10" fontId="4" fillId="3" borderId="0" xfId="0" applyNumberFormat="1" applyFont="1" applyFill="1"/>
    <xf numFmtId="164" fontId="4" fillId="3" borderId="0" xfId="0" applyNumberFormat="1" applyFont="1" applyFill="1"/>
    <xf numFmtId="10" fontId="31" fillId="11" borderId="0" xfId="0" applyNumberFormat="1" applyFont="1" applyFill="1" applyAlignment="1">
      <alignment horizontal="center"/>
    </xf>
    <xf numFmtId="4" fontId="31" fillId="0" borderId="0" xfId="0" applyNumberFormat="1" applyFont="1" applyAlignment="1">
      <alignment horizontal="center"/>
    </xf>
  </cellXfs>
  <cellStyles count="2">
    <cellStyle name="Обычный" xfId="0" builtinId="0"/>
    <cellStyle name="Процентный" xfId="1" builtinId="5"/>
  </cellStyles>
  <dxfs count="6">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s>
  <tableStyles count="0" defaultTableStyle="TableStyleMedium2" defaultPivotStyle="PivotStyleLight16"/>
  <colors>
    <mruColors>
      <color rgb="FFEAEAEA"/>
      <color rgb="FFFFFF99"/>
      <color rgb="FFCC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microsoft.com/office/2017/06/relationships/rdSupportingPropertyBagStructure" Target="richData/rdsupportingpropertybagstructure.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ichStyles" Target="richData/richStyles.xml"/><Relationship Id="rId2" Type="http://schemas.openxmlformats.org/officeDocument/2006/relationships/worksheet" Target="worksheets/sheet2.xml"/><Relationship Id="rId16" Type="http://schemas.microsoft.com/office/2017/06/relationships/rdArray" Target="richData/rdarray.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theme" Target="theme/theme1.xml"/><Relationship Id="rId19" Type="http://schemas.microsoft.com/office/2017/06/relationships/rdSupportingPropertyBag" Target="richData/rdsupportingpropertybag.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0684899251613537E-2"/>
          <c:y val="5.886066447902312E-2"/>
          <c:w val="0.9386302014967729"/>
          <c:h val="0.89167659226129359"/>
        </c:manualLayout>
      </c:layout>
      <c:barChart>
        <c:barDir val="col"/>
        <c:grouping val="clustered"/>
        <c:varyColors val="0"/>
        <c:ser>
          <c:idx val="0"/>
          <c:order val="0"/>
          <c:spPr>
            <a:solidFill>
              <a:schemeClr val="accent6">
                <a:lumMod val="60000"/>
                <a:lumOff val="40000"/>
              </a:schemeClr>
            </a:solidFill>
            <a:ln>
              <a:solidFill>
                <a:schemeClr val="tx1">
                  <a:lumMod val="95000"/>
                  <a:lumOff val="5000"/>
                </a:schemeClr>
              </a:solidFill>
            </a:ln>
            <a:effectLst/>
          </c:spPr>
          <c:invertIfNegative val="0"/>
          <c:dPt>
            <c:idx val="0"/>
            <c:invertIfNegative val="0"/>
            <c:bubble3D val="0"/>
            <c:spPr>
              <a:solidFill>
                <a:schemeClr val="accent6">
                  <a:lumMod val="50000"/>
                </a:schemeClr>
              </a:solidFill>
              <a:ln>
                <a:solidFill>
                  <a:schemeClr val="tx1">
                    <a:lumMod val="95000"/>
                    <a:lumOff val="5000"/>
                  </a:schemeClr>
                </a:solidFill>
              </a:ln>
              <a:effectLst/>
            </c:spPr>
            <c:extLst>
              <c:ext xmlns:c16="http://schemas.microsoft.com/office/drawing/2014/chart" uri="{C3380CC4-5D6E-409C-BE32-E72D297353CC}">
                <c16:uniqueId val="{00000002-3C09-4DC8-8FBA-2E85D2928297}"/>
              </c:ext>
            </c:extLst>
          </c:dPt>
          <c:dPt>
            <c:idx val="1"/>
            <c:invertIfNegative val="0"/>
            <c:bubble3D val="0"/>
            <c:spPr>
              <a:solidFill>
                <a:schemeClr val="accent6">
                  <a:lumMod val="40000"/>
                  <a:lumOff val="60000"/>
                </a:schemeClr>
              </a:solidFill>
              <a:ln>
                <a:solidFill>
                  <a:schemeClr val="tx1">
                    <a:lumMod val="95000"/>
                    <a:lumOff val="5000"/>
                  </a:schemeClr>
                </a:solidFill>
              </a:ln>
              <a:effectLst/>
            </c:spPr>
            <c:extLst>
              <c:ext xmlns:c16="http://schemas.microsoft.com/office/drawing/2014/chart" uri="{C3380CC4-5D6E-409C-BE32-E72D297353CC}">
                <c16:uniqueId val="{00000005-3C09-4DC8-8FBA-2E85D2928297}"/>
              </c:ext>
            </c:extLst>
          </c:dPt>
          <c:dPt>
            <c:idx val="2"/>
            <c:invertIfNegative val="0"/>
            <c:bubble3D val="0"/>
            <c:spPr>
              <a:solidFill>
                <a:schemeClr val="accent6">
                  <a:lumMod val="20000"/>
                  <a:lumOff val="80000"/>
                </a:schemeClr>
              </a:solidFill>
              <a:ln>
                <a:solidFill>
                  <a:schemeClr val="tx1">
                    <a:lumMod val="95000"/>
                    <a:lumOff val="5000"/>
                  </a:schemeClr>
                </a:solidFill>
              </a:ln>
              <a:effectLst/>
            </c:spPr>
            <c:extLst>
              <c:ext xmlns:c16="http://schemas.microsoft.com/office/drawing/2014/chart" uri="{C3380CC4-5D6E-409C-BE32-E72D297353CC}">
                <c16:uniqueId val="{00000006-3C09-4DC8-8FBA-2E85D2928297}"/>
              </c:ext>
            </c:extLst>
          </c:dPt>
          <c:dPt>
            <c:idx val="4"/>
            <c:invertIfNegative val="0"/>
            <c:bubble3D val="0"/>
            <c:spPr>
              <a:solidFill>
                <a:schemeClr val="accent6">
                  <a:lumMod val="75000"/>
                </a:schemeClr>
              </a:solidFill>
              <a:ln>
                <a:solidFill>
                  <a:schemeClr val="tx1">
                    <a:lumMod val="95000"/>
                    <a:lumOff val="5000"/>
                  </a:schemeClr>
                </a:solidFill>
              </a:ln>
              <a:effectLst/>
            </c:spPr>
            <c:extLst>
              <c:ext xmlns:c16="http://schemas.microsoft.com/office/drawing/2014/chart" uri="{C3380CC4-5D6E-409C-BE32-E72D297353CC}">
                <c16:uniqueId val="{00000003-3C09-4DC8-8FBA-2E85D292829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KZ"/>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DuPont!$D$16:$H$16</c:f>
              <c:numCache>
                <c:formatCode>General</c:formatCode>
                <c:ptCount val="5"/>
                <c:pt idx="0">
                  <c:v>2021</c:v>
                </c:pt>
                <c:pt idx="1">
                  <c:v>2022</c:v>
                </c:pt>
                <c:pt idx="2">
                  <c:v>2023</c:v>
                </c:pt>
                <c:pt idx="3">
                  <c:v>2024</c:v>
                </c:pt>
                <c:pt idx="4">
                  <c:v>2025</c:v>
                </c:pt>
              </c:numCache>
            </c:numRef>
          </c:cat>
          <c:val>
            <c:numRef>
              <c:f>DuPont!$D$17:$H$17</c:f>
              <c:numCache>
                <c:formatCode>0.00</c:formatCode>
                <c:ptCount val="5"/>
                <c:pt idx="0">
                  <c:v>1492</c:v>
                </c:pt>
                <c:pt idx="1">
                  <c:v>254</c:v>
                </c:pt>
                <c:pt idx="2">
                  <c:v>-58</c:v>
                </c:pt>
                <c:pt idx="3">
                  <c:v>824</c:v>
                </c:pt>
                <c:pt idx="4">
                  <c:v>1377</c:v>
                </c:pt>
              </c:numCache>
            </c:numRef>
          </c:val>
          <c:extLst>
            <c:ext xmlns:c16="http://schemas.microsoft.com/office/drawing/2014/chart" uri="{C3380CC4-5D6E-409C-BE32-E72D297353CC}">
              <c16:uniqueId val="{00000000-3C09-4DC8-8FBA-2E85D2928297}"/>
            </c:ext>
          </c:extLst>
        </c:ser>
        <c:dLbls>
          <c:showLegendKey val="0"/>
          <c:showVal val="0"/>
          <c:showCatName val="0"/>
          <c:showSerName val="0"/>
          <c:showPercent val="0"/>
          <c:showBubbleSize val="0"/>
        </c:dLbls>
        <c:gapWidth val="219"/>
        <c:overlap val="-27"/>
        <c:axId val="234464383"/>
        <c:axId val="234464863"/>
      </c:barChart>
      <c:catAx>
        <c:axId val="234464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KZ"/>
          </a:p>
        </c:txPr>
        <c:crossAx val="234464863"/>
        <c:crosses val="autoZero"/>
        <c:auto val="1"/>
        <c:lblAlgn val="ctr"/>
        <c:lblOffset val="100"/>
        <c:noMultiLvlLbl val="0"/>
      </c:catAx>
      <c:valAx>
        <c:axId val="234464863"/>
        <c:scaling>
          <c:orientation val="minMax"/>
        </c:scaling>
        <c:delete val="1"/>
        <c:axPos val="l"/>
        <c:numFmt formatCode="0.00" sourceLinked="1"/>
        <c:majorTickMark val="none"/>
        <c:minorTickMark val="none"/>
        <c:tickLblPos val="nextTo"/>
        <c:crossAx val="2344643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KZ"/>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7985453345851612E-2"/>
          <c:y val="3.3316844459005263E-2"/>
          <c:w val="0.9386302014967729"/>
          <c:h val="0.81151443890156139"/>
        </c:manualLayout>
      </c:layout>
      <c:barChart>
        <c:barDir val="col"/>
        <c:grouping val="clustered"/>
        <c:varyColors val="0"/>
        <c:ser>
          <c:idx val="1"/>
          <c:order val="1"/>
          <c:tx>
            <c:strRef>
              <c:f>DuPont!$B$24</c:f>
              <c:strCache>
                <c:ptCount val="1"/>
                <c:pt idx="0">
                  <c:v>Revenue</c:v>
                </c:pt>
              </c:strCache>
            </c:strRef>
          </c:tx>
          <c:spPr>
            <a:solidFill>
              <a:schemeClr val="accent6">
                <a:lumMod val="20000"/>
                <a:lumOff val="80000"/>
              </a:schemeClr>
            </a:solidFill>
            <a:ln>
              <a:solidFill>
                <a:schemeClr val="tx1">
                  <a:lumMod val="95000"/>
                  <a:lumOff val="5000"/>
                </a:schemeClr>
              </a:solidFill>
            </a:ln>
            <a:effectLst/>
          </c:spPr>
          <c:invertIfNegative val="0"/>
          <c:dPt>
            <c:idx val="1"/>
            <c:invertIfNegative val="0"/>
            <c:bubble3D val="0"/>
            <c:spPr>
              <a:solidFill>
                <a:schemeClr val="accent6">
                  <a:lumMod val="60000"/>
                  <a:lumOff val="40000"/>
                </a:schemeClr>
              </a:solidFill>
              <a:ln>
                <a:solidFill>
                  <a:schemeClr val="tx1">
                    <a:lumMod val="95000"/>
                    <a:lumOff val="5000"/>
                  </a:schemeClr>
                </a:solidFill>
              </a:ln>
              <a:effectLst/>
            </c:spPr>
            <c:extLst>
              <c:ext xmlns:c16="http://schemas.microsoft.com/office/drawing/2014/chart" uri="{C3380CC4-5D6E-409C-BE32-E72D297353CC}">
                <c16:uniqueId val="{0000000A-3E77-46F9-BB3F-4A93AD3A6481}"/>
              </c:ext>
            </c:extLst>
          </c:dPt>
          <c:dPt>
            <c:idx val="2"/>
            <c:invertIfNegative val="0"/>
            <c:bubble3D val="0"/>
            <c:spPr>
              <a:solidFill>
                <a:schemeClr val="accent6">
                  <a:lumMod val="40000"/>
                  <a:lumOff val="60000"/>
                </a:schemeClr>
              </a:solidFill>
              <a:ln>
                <a:solidFill>
                  <a:schemeClr val="tx1">
                    <a:lumMod val="95000"/>
                    <a:lumOff val="5000"/>
                  </a:schemeClr>
                </a:solidFill>
              </a:ln>
              <a:effectLst/>
            </c:spPr>
            <c:extLst>
              <c:ext xmlns:c16="http://schemas.microsoft.com/office/drawing/2014/chart" uri="{C3380CC4-5D6E-409C-BE32-E72D297353CC}">
                <c16:uniqueId val="{0000000B-3E77-46F9-BB3F-4A93AD3A6481}"/>
              </c:ext>
            </c:extLst>
          </c:dPt>
          <c:dPt>
            <c:idx val="3"/>
            <c:invertIfNegative val="0"/>
            <c:bubble3D val="0"/>
            <c:spPr>
              <a:solidFill>
                <a:schemeClr val="accent6">
                  <a:lumMod val="75000"/>
                </a:schemeClr>
              </a:solidFill>
              <a:ln>
                <a:solidFill>
                  <a:schemeClr val="tx1">
                    <a:lumMod val="95000"/>
                    <a:lumOff val="5000"/>
                  </a:schemeClr>
                </a:solidFill>
              </a:ln>
              <a:effectLst/>
            </c:spPr>
            <c:extLst>
              <c:ext xmlns:c16="http://schemas.microsoft.com/office/drawing/2014/chart" uri="{C3380CC4-5D6E-409C-BE32-E72D297353CC}">
                <c16:uniqueId val="{0000000C-3E77-46F9-BB3F-4A93AD3A6481}"/>
              </c:ext>
            </c:extLst>
          </c:dPt>
          <c:dPt>
            <c:idx val="4"/>
            <c:invertIfNegative val="0"/>
            <c:bubble3D val="0"/>
            <c:spPr>
              <a:solidFill>
                <a:schemeClr val="accent6">
                  <a:lumMod val="50000"/>
                </a:schemeClr>
              </a:solidFill>
              <a:ln>
                <a:solidFill>
                  <a:schemeClr val="tx1">
                    <a:lumMod val="95000"/>
                    <a:lumOff val="5000"/>
                  </a:schemeClr>
                </a:solidFill>
              </a:ln>
              <a:effectLst/>
            </c:spPr>
            <c:extLst>
              <c:ext xmlns:c16="http://schemas.microsoft.com/office/drawing/2014/chart" uri="{C3380CC4-5D6E-409C-BE32-E72D297353CC}">
                <c16:uniqueId val="{0000000D-3E77-46F9-BB3F-4A93AD3A648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KZ"/>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DuPont!$C$22:$H$22</c15:sqref>
                  </c15:fullRef>
                </c:ext>
              </c:extLst>
              <c:f>DuPont!$D$22:$H$22</c:f>
              <c:numCache>
                <c:formatCode>General</c:formatCode>
                <c:ptCount val="5"/>
                <c:pt idx="0">
                  <c:v>2021</c:v>
                </c:pt>
                <c:pt idx="1">
                  <c:v>2022</c:v>
                </c:pt>
                <c:pt idx="2">
                  <c:v>2023</c:v>
                </c:pt>
                <c:pt idx="3">
                  <c:v>2024</c:v>
                </c:pt>
                <c:pt idx="4">
                  <c:v>2025</c:v>
                </c:pt>
              </c:numCache>
            </c:numRef>
          </c:cat>
          <c:val>
            <c:numRef>
              <c:extLst>
                <c:ext xmlns:c15="http://schemas.microsoft.com/office/drawing/2012/chart" uri="{02D57815-91ED-43cb-92C2-25804820EDAC}">
                  <c15:fullRef>
                    <c15:sqref>DuPont!$C$24:$H$24</c15:sqref>
                  </c15:fullRef>
                </c:ext>
              </c:extLst>
              <c:f>DuPont!$D$24:$H$24</c:f>
              <c:numCache>
                <c:formatCode>0.00</c:formatCode>
                <c:ptCount val="5"/>
                <c:pt idx="0">
                  <c:v>21234</c:v>
                </c:pt>
                <c:pt idx="1">
                  <c:v>22511</c:v>
                </c:pt>
                <c:pt idx="2">
                  <c:v>21427</c:v>
                </c:pt>
                <c:pt idx="3">
                  <c:v>23683</c:v>
                </c:pt>
                <c:pt idx="4">
                  <c:v>24811</c:v>
                </c:pt>
              </c:numCache>
            </c:numRef>
          </c:val>
          <c:extLst>
            <c:ext xmlns:c16="http://schemas.microsoft.com/office/drawing/2014/chart" uri="{C3380CC4-5D6E-409C-BE32-E72D297353CC}">
              <c16:uniqueId val="{00000009-3E77-46F9-BB3F-4A93AD3A6481}"/>
            </c:ext>
          </c:extLst>
        </c:ser>
        <c:dLbls>
          <c:showLegendKey val="0"/>
          <c:showVal val="0"/>
          <c:showCatName val="0"/>
          <c:showSerName val="0"/>
          <c:showPercent val="0"/>
          <c:showBubbleSize val="0"/>
        </c:dLbls>
        <c:gapWidth val="219"/>
        <c:overlap val="-27"/>
        <c:axId val="234464383"/>
        <c:axId val="234464863"/>
        <c:extLst>
          <c:ext xmlns:c15="http://schemas.microsoft.com/office/drawing/2012/chart" uri="{02D57815-91ED-43cb-92C2-25804820EDAC}">
            <c15:filteredBarSeries>
              <c15:ser>
                <c:idx val="0"/>
                <c:order val="0"/>
                <c:tx>
                  <c:strRef>
                    <c:extLst>
                      <c:ext uri="{02D57815-91ED-43cb-92C2-25804820EDAC}">
                        <c15:formulaRef>
                          <c15:sqref>DuPont!$B$23</c15:sqref>
                        </c15:formulaRef>
                      </c:ext>
                    </c:extLst>
                    <c:strCache>
                      <c:ptCount val="1"/>
                      <c:pt idx="0">
                        <c:v>Net Income</c:v>
                      </c:pt>
                    </c:strCache>
                  </c:strRef>
                </c:tx>
                <c:spPr>
                  <a:solidFill>
                    <a:schemeClr val="accent1"/>
                  </a:solidFill>
                  <a:ln>
                    <a:noFill/>
                  </a:ln>
                  <a:effectLst/>
                </c:spPr>
                <c:invertIfNegative val="0"/>
                <c:cat>
                  <c:numRef>
                    <c:extLst>
                      <c:ext uri="{02D57815-91ED-43cb-92C2-25804820EDAC}">
                        <c15:fullRef>
                          <c15:sqref>DuPont!$C$22:$H$22</c15:sqref>
                        </c15:fullRef>
                        <c15:formulaRef>
                          <c15:sqref>DuPont!$D$22:$H$22</c15:sqref>
                        </c15:formulaRef>
                      </c:ext>
                    </c:extLst>
                    <c:numCache>
                      <c:formatCode>General</c:formatCode>
                      <c:ptCount val="5"/>
                      <c:pt idx="0">
                        <c:v>2021</c:v>
                      </c:pt>
                      <c:pt idx="1">
                        <c:v>2022</c:v>
                      </c:pt>
                      <c:pt idx="2">
                        <c:v>2023</c:v>
                      </c:pt>
                      <c:pt idx="3">
                        <c:v>2024</c:v>
                      </c:pt>
                      <c:pt idx="4">
                        <c:v>2025</c:v>
                      </c:pt>
                    </c:numCache>
                  </c:numRef>
                </c:cat>
                <c:val>
                  <c:numRef>
                    <c:extLst>
                      <c:ext uri="{02D57815-91ED-43cb-92C2-25804820EDAC}">
                        <c15:fullRef>
                          <c15:sqref>DuPont!$C$23:$H$23</c15:sqref>
                        </c15:fullRef>
                        <c15:formulaRef>
                          <c15:sqref>DuPont!$D$23:$H$23</c15:sqref>
                        </c15:formulaRef>
                      </c:ext>
                    </c:extLst>
                    <c:numCache>
                      <c:formatCode>0.00</c:formatCode>
                      <c:ptCount val="5"/>
                      <c:pt idx="0">
                        <c:v>1492</c:v>
                      </c:pt>
                      <c:pt idx="1">
                        <c:v>254</c:v>
                      </c:pt>
                      <c:pt idx="2">
                        <c:v>-58</c:v>
                      </c:pt>
                      <c:pt idx="3">
                        <c:v>824</c:v>
                      </c:pt>
                      <c:pt idx="4">
                        <c:v>1377</c:v>
                      </c:pt>
                    </c:numCache>
                  </c:numRef>
                </c:val>
                <c:extLst>
                  <c:ext xmlns:c16="http://schemas.microsoft.com/office/drawing/2014/chart" uri="{C3380CC4-5D6E-409C-BE32-E72D297353CC}">
                    <c16:uniqueId val="{00000008-3E77-46F9-BB3F-4A93AD3A6481}"/>
                  </c:ext>
                </c:extLst>
              </c15:ser>
            </c15:filteredBarSeries>
          </c:ext>
        </c:extLst>
      </c:barChart>
      <c:catAx>
        <c:axId val="234464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KZ"/>
          </a:p>
        </c:txPr>
        <c:crossAx val="234464863"/>
        <c:crosses val="autoZero"/>
        <c:auto val="1"/>
        <c:lblAlgn val="ctr"/>
        <c:lblOffset val="100"/>
        <c:noMultiLvlLbl val="0"/>
      </c:catAx>
      <c:valAx>
        <c:axId val="234464863"/>
        <c:scaling>
          <c:orientation val="minMax"/>
        </c:scaling>
        <c:delete val="1"/>
        <c:axPos val="l"/>
        <c:numFmt formatCode="0.00" sourceLinked="1"/>
        <c:majorTickMark val="none"/>
        <c:minorTickMark val="none"/>
        <c:tickLblPos val="nextTo"/>
        <c:crossAx val="2344643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KZ"/>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7985453345851612E-2"/>
          <c:y val="3.3316844459005263E-2"/>
          <c:w val="0.9386302014967729"/>
          <c:h val="0.81151443890156139"/>
        </c:manualLayout>
      </c:layout>
      <c:barChart>
        <c:barDir val="col"/>
        <c:grouping val="clustered"/>
        <c:varyColors val="0"/>
        <c:ser>
          <c:idx val="1"/>
          <c:order val="1"/>
          <c:tx>
            <c:strRef>
              <c:f>DuPont!$B$40</c:f>
              <c:strCache>
                <c:ptCount val="1"/>
                <c:pt idx="0">
                  <c:v>Avg Total Assets(not 2020)</c:v>
                </c:pt>
              </c:strCache>
            </c:strRef>
          </c:tx>
          <c:spPr>
            <a:solidFill>
              <a:schemeClr val="accent2"/>
            </a:solidFill>
            <a:ln>
              <a:solidFill>
                <a:schemeClr val="tx1">
                  <a:lumMod val="95000"/>
                  <a:lumOff val="5000"/>
                </a:schemeClr>
              </a:solidFill>
            </a:ln>
            <a:effectLst/>
          </c:spPr>
          <c:invertIfNegative val="0"/>
          <c:dPt>
            <c:idx val="0"/>
            <c:invertIfNegative val="0"/>
            <c:bubble3D val="0"/>
            <c:spPr>
              <a:solidFill>
                <a:schemeClr val="accent6">
                  <a:lumMod val="50000"/>
                </a:schemeClr>
              </a:solidFill>
              <a:ln>
                <a:solidFill>
                  <a:schemeClr val="tx1">
                    <a:lumMod val="95000"/>
                    <a:lumOff val="5000"/>
                  </a:schemeClr>
                </a:solidFill>
              </a:ln>
              <a:effectLst/>
            </c:spPr>
            <c:extLst>
              <c:ext xmlns:c16="http://schemas.microsoft.com/office/drawing/2014/chart" uri="{C3380CC4-5D6E-409C-BE32-E72D297353CC}">
                <c16:uniqueId val="{0000000B-3134-4377-B80F-F0FD10B787AD}"/>
              </c:ext>
            </c:extLst>
          </c:dPt>
          <c:dPt>
            <c:idx val="1"/>
            <c:invertIfNegative val="0"/>
            <c:bubble3D val="0"/>
            <c:spPr>
              <a:solidFill>
                <a:schemeClr val="accent6">
                  <a:lumMod val="75000"/>
                </a:schemeClr>
              </a:solidFill>
              <a:ln>
                <a:solidFill>
                  <a:schemeClr val="tx1">
                    <a:lumMod val="95000"/>
                    <a:lumOff val="5000"/>
                  </a:schemeClr>
                </a:solidFill>
              </a:ln>
              <a:effectLst/>
            </c:spPr>
            <c:extLst>
              <c:ext xmlns:c16="http://schemas.microsoft.com/office/drawing/2014/chart" uri="{C3380CC4-5D6E-409C-BE32-E72D297353CC}">
                <c16:uniqueId val="{00000001-3134-4377-B80F-F0FD10B787AD}"/>
              </c:ext>
            </c:extLst>
          </c:dPt>
          <c:dPt>
            <c:idx val="2"/>
            <c:invertIfNegative val="0"/>
            <c:bubble3D val="0"/>
            <c:spPr>
              <a:solidFill>
                <a:schemeClr val="accent6">
                  <a:lumMod val="20000"/>
                  <a:lumOff val="80000"/>
                </a:schemeClr>
              </a:solidFill>
              <a:ln>
                <a:solidFill>
                  <a:schemeClr val="tx1">
                    <a:lumMod val="95000"/>
                    <a:lumOff val="5000"/>
                  </a:schemeClr>
                </a:solidFill>
              </a:ln>
              <a:effectLst/>
            </c:spPr>
            <c:extLst>
              <c:ext xmlns:c16="http://schemas.microsoft.com/office/drawing/2014/chart" uri="{C3380CC4-5D6E-409C-BE32-E72D297353CC}">
                <c16:uniqueId val="{00000003-3134-4377-B80F-F0FD10B787AD}"/>
              </c:ext>
            </c:extLst>
          </c:dPt>
          <c:dPt>
            <c:idx val="3"/>
            <c:invertIfNegative val="0"/>
            <c:bubble3D val="0"/>
            <c:spPr>
              <a:solidFill>
                <a:schemeClr val="accent6">
                  <a:lumMod val="40000"/>
                  <a:lumOff val="60000"/>
                </a:schemeClr>
              </a:solidFill>
              <a:ln>
                <a:solidFill>
                  <a:schemeClr val="tx1">
                    <a:lumMod val="95000"/>
                    <a:lumOff val="5000"/>
                  </a:schemeClr>
                </a:solidFill>
              </a:ln>
              <a:effectLst/>
            </c:spPr>
            <c:extLst>
              <c:ext xmlns:c16="http://schemas.microsoft.com/office/drawing/2014/chart" uri="{C3380CC4-5D6E-409C-BE32-E72D297353CC}">
                <c16:uniqueId val="{00000005-3134-4377-B80F-F0FD10B787AD}"/>
              </c:ext>
            </c:extLst>
          </c:dPt>
          <c:dPt>
            <c:idx val="4"/>
            <c:invertIfNegative val="0"/>
            <c:bubble3D val="0"/>
            <c:spPr>
              <a:solidFill>
                <a:schemeClr val="accent6">
                  <a:lumMod val="60000"/>
                  <a:lumOff val="40000"/>
                </a:schemeClr>
              </a:solidFill>
              <a:ln>
                <a:solidFill>
                  <a:schemeClr val="tx1">
                    <a:lumMod val="95000"/>
                    <a:lumOff val="5000"/>
                  </a:schemeClr>
                </a:solidFill>
              </a:ln>
              <a:effectLst/>
            </c:spPr>
            <c:extLst>
              <c:ext xmlns:c16="http://schemas.microsoft.com/office/drawing/2014/chart" uri="{C3380CC4-5D6E-409C-BE32-E72D297353CC}">
                <c16:uniqueId val="{00000007-3134-4377-B80F-F0FD10B787A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KZ"/>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DuPont!$C$38:$H$38</c15:sqref>
                  </c15:fullRef>
                </c:ext>
              </c:extLst>
              <c:f>DuPont!$D$38:$H$38</c:f>
              <c:numCache>
                <c:formatCode>General</c:formatCode>
                <c:ptCount val="5"/>
                <c:pt idx="0">
                  <c:v>2021</c:v>
                </c:pt>
                <c:pt idx="1">
                  <c:v>2022</c:v>
                </c:pt>
                <c:pt idx="2">
                  <c:v>2023</c:v>
                </c:pt>
                <c:pt idx="3">
                  <c:v>2024</c:v>
                </c:pt>
                <c:pt idx="4">
                  <c:v>2025</c:v>
                </c:pt>
              </c:numCache>
            </c:numRef>
          </c:cat>
          <c:val>
            <c:numRef>
              <c:extLst>
                <c:ext xmlns:c15="http://schemas.microsoft.com/office/drawing/2012/chart" uri="{02D57815-91ED-43cb-92C2-25804820EDAC}">
                  <c15:fullRef>
                    <c15:sqref>DuPont!$C$40:$H$40</c15:sqref>
                  </c15:fullRef>
                </c:ext>
              </c:extLst>
              <c:f>DuPont!$D$40:$H$40</c:f>
              <c:numCache>
                <c:formatCode>0.00</c:formatCode>
                <c:ptCount val="5"/>
                <c:pt idx="0">
                  <c:v>21595</c:v>
                </c:pt>
                <c:pt idx="1">
                  <c:v>21216.5</c:v>
                </c:pt>
                <c:pt idx="2">
                  <c:v>19158</c:v>
                </c:pt>
                <c:pt idx="3">
                  <c:v>19337.5</c:v>
                </c:pt>
                <c:pt idx="4">
                  <c:v>20458.5</c:v>
                </c:pt>
              </c:numCache>
            </c:numRef>
          </c:val>
          <c:extLst>
            <c:ext xmlns:c16="http://schemas.microsoft.com/office/drawing/2014/chart" uri="{C3380CC4-5D6E-409C-BE32-E72D297353CC}">
              <c16:uniqueId val="{00000008-3134-4377-B80F-F0FD10B787AD}"/>
            </c:ext>
          </c:extLst>
        </c:ser>
        <c:dLbls>
          <c:showLegendKey val="0"/>
          <c:showVal val="0"/>
          <c:showCatName val="0"/>
          <c:showSerName val="0"/>
          <c:showPercent val="0"/>
          <c:showBubbleSize val="0"/>
        </c:dLbls>
        <c:gapWidth val="219"/>
        <c:overlap val="-27"/>
        <c:axId val="234464383"/>
        <c:axId val="234464863"/>
        <c:extLst>
          <c:ext xmlns:c15="http://schemas.microsoft.com/office/drawing/2012/chart" uri="{02D57815-91ED-43cb-92C2-25804820EDAC}">
            <c15:filteredBarSeries>
              <c15:ser>
                <c:idx val="0"/>
                <c:order val="0"/>
                <c:tx>
                  <c:strRef>
                    <c:extLst>
                      <c:ext uri="{02D57815-91ED-43cb-92C2-25804820EDAC}">
                        <c15:formulaRef>
                          <c15:sqref>DuPont!$B$39</c15:sqref>
                        </c15:formulaRef>
                      </c:ext>
                    </c:extLst>
                    <c:strCache>
                      <c:ptCount val="1"/>
                      <c:pt idx="0">
                        <c:v>Net Income</c:v>
                      </c:pt>
                    </c:strCache>
                  </c:strRef>
                </c:tx>
                <c:spPr>
                  <a:solidFill>
                    <a:schemeClr val="accent1"/>
                  </a:solidFill>
                  <a:ln>
                    <a:noFill/>
                  </a:ln>
                  <a:effectLst/>
                </c:spPr>
                <c:invertIfNegative val="0"/>
                <c:cat>
                  <c:numRef>
                    <c:extLst>
                      <c:ext uri="{02D57815-91ED-43cb-92C2-25804820EDAC}">
                        <c15:fullRef>
                          <c15:sqref>DuPont!$C$38:$H$38</c15:sqref>
                        </c15:fullRef>
                        <c15:formulaRef>
                          <c15:sqref>DuPont!$D$38:$H$38</c15:sqref>
                        </c15:formulaRef>
                      </c:ext>
                    </c:extLst>
                    <c:numCache>
                      <c:formatCode>General</c:formatCode>
                      <c:ptCount val="5"/>
                      <c:pt idx="0">
                        <c:v>2021</c:v>
                      </c:pt>
                      <c:pt idx="1">
                        <c:v>2022</c:v>
                      </c:pt>
                      <c:pt idx="2">
                        <c:v>2023</c:v>
                      </c:pt>
                      <c:pt idx="3">
                        <c:v>2024</c:v>
                      </c:pt>
                      <c:pt idx="4">
                        <c:v>2025</c:v>
                      </c:pt>
                    </c:numCache>
                  </c:numRef>
                </c:cat>
                <c:val>
                  <c:numRef>
                    <c:extLst>
                      <c:ext uri="{02D57815-91ED-43cb-92C2-25804820EDAC}">
                        <c15:fullRef>
                          <c15:sqref>DuPont!$C$39:$H$39</c15:sqref>
                        </c15:fullRef>
                        <c15:formulaRef>
                          <c15:sqref>DuPont!$D$39:$H$39</c15:sqref>
                        </c15:formulaRef>
                      </c:ext>
                    </c:extLst>
                    <c:numCache>
                      <c:formatCode>0.00</c:formatCode>
                      <c:ptCount val="5"/>
                      <c:pt idx="0">
                        <c:v>1492</c:v>
                      </c:pt>
                      <c:pt idx="1">
                        <c:v>254</c:v>
                      </c:pt>
                      <c:pt idx="2">
                        <c:v>-58</c:v>
                      </c:pt>
                      <c:pt idx="3">
                        <c:v>824</c:v>
                      </c:pt>
                      <c:pt idx="4">
                        <c:v>1377</c:v>
                      </c:pt>
                    </c:numCache>
                  </c:numRef>
                </c:val>
                <c:extLst>
                  <c:ext xmlns:c16="http://schemas.microsoft.com/office/drawing/2014/chart" uri="{C3380CC4-5D6E-409C-BE32-E72D297353CC}">
                    <c16:uniqueId val="{00000009-3134-4377-B80F-F0FD10B787AD}"/>
                  </c:ext>
                </c:extLst>
              </c15:ser>
            </c15:filteredBarSeries>
            <c15:filteredBarSeries>
              <c15:ser>
                <c:idx val="2"/>
                <c:order val="2"/>
                <c:tx>
                  <c:strRef>
                    <c:extLst>
                      <c:ext xmlns:c15="http://schemas.microsoft.com/office/drawing/2012/chart" uri="{02D57815-91ED-43cb-92C2-25804820EDAC}">
                        <c15:formulaRef>
                          <c15:sqref>DuPont!$B$41</c15:sqref>
                        </c15:formulaRef>
                      </c:ext>
                    </c:extLst>
                    <c:strCache>
                      <c:ptCount val="1"/>
                      <c:pt idx="0">
                        <c:v>ROA</c:v>
                      </c:pt>
                    </c:strCache>
                  </c:strRef>
                </c:tx>
                <c:spPr>
                  <a:solidFill>
                    <a:schemeClr val="accent3"/>
                  </a:solidFill>
                  <a:ln>
                    <a:noFill/>
                  </a:ln>
                  <a:effectLst/>
                </c:spPr>
                <c:invertIfNegative val="0"/>
                <c:cat>
                  <c:numRef>
                    <c:extLst>
                      <c:ext xmlns:c15="http://schemas.microsoft.com/office/drawing/2012/chart" uri="{02D57815-91ED-43cb-92C2-25804820EDAC}">
                        <c15:fullRef>
                          <c15:sqref>DuPont!$C$38:$H$38</c15:sqref>
                        </c15:fullRef>
                        <c15:formulaRef>
                          <c15:sqref>DuPont!$D$38:$H$38</c15:sqref>
                        </c15:formulaRef>
                      </c:ext>
                    </c:extLst>
                    <c:numCache>
                      <c:formatCode>General</c:formatCode>
                      <c:ptCount val="5"/>
                      <c:pt idx="0">
                        <c:v>2021</c:v>
                      </c:pt>
                      <c:pt idx="1">
                        <c:v>2022</c:v>
                      </c:pt>
                      <c:pt idx="2">
                        <c:v>2023</c:v>
                      </c:pt>
                      <c:pt idx="3">
                        <c:v>2024</c:v>
                      </c:pt>
                      <c:pt idx="4">
                        <c:v>2025</c:v>
                      </c:pt>
                    </c:numCache>
                  </c:numRef>
                </c:cat>
                <c:val>
                  <c:numRef>
                    <c:extLst>
                      <c:ext xmlns:c15="http://schemas.microsoft.com/office/drawing/2012/chart" uri="{02D57815-91ED-43cb-92C2-25804820EDAC}">
                        <c15:fullRef>
                          <c15:sqref>DuPont!$C$41:$H$41</c15:sqref>
                        </c15:fullRef>
                        <c15:formulaRef>
                          <c15:sqref>DuPont!$D$41:$H$41</c15:sqref>
                        </c15:formulaRef>
                      </c:ext>
                    </c:extLst>
                    <c:numCache>
                      <c:formatCode>0.00%</c:formatCode>
                      <c:ptCount val="5"/>
                      <c:pt idx="0">
                        <c:v>6.909006714517249E-2</c:v>
                      </c:pt>
                      <c:pt idx="1">
                        <c:v>1.1971814389743832E-2</c:v>
                      </c:pt>
                      <c:pt idx="2">
                        <c:v>-3.0274558930994885E-3</c:v>
                      </c:pt>
                      <c:pt idx="3">
                        <c:v>4.2611506140917903E-2</c:v>
                      </c:pt>
                      <c:pt idx="4">
                        <c:v>6.7306987315785619E-2</c:v>
                      </c:pt>
                    </c:numCache>
                  </c:numRef>
                </c:val>
                <c:extLst>
                  <c:ext xmlns:c16="http://schemas.microsoft.com/office/drawing/2014/chart" uri="{C3380CC4-5D6E-409C-BE32-E72D297353CC}">
                    <c16:uniqueId val="{0000000A-3134-4377-B80F-F0FD10B787AD}"/>
                  </c:ext>
                </c:extLst>
              </c15:ser>
            </c15:filteredBarSeries>
          </c:ext>
        </c:extLst>
      </c:barChart>
      <c:catAx>
        <c:axId val="234464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KZ"/>
          </a:p>
        </c:txPr>
        <c:crossAx val="234464863"/>
        <c:crosses val="autoZero"/>
        <c:auto val="1"/>
        <c:lblAlgn val="ctr"/>
        <c:lblOffset val="100"/>
        <c:noMultiLvlLbl val="0"/>
      </c:catAx>
      <c:valAx>
        <c:axId val="234464863"/>
        <c:scaling>
          <c:orientation val="minMax"/>
        </c:scaling>
        <c:delete val="1"/>
        <c:axPos val="l"/>
        <c:numFmt formatCode="0.00" sourceLinked="1"/>
        <c:majorTickMark val="none"/>
        <c:minorTickMark val="none"/>
        <c:tickLblPos val="nextTo"/>
        <c:crossAx val="2344643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KZ"/>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7985453345851612E-2"/>
          <c:y val="3.3316844459005263E-2"/>
          <c:w val="0.9386302014967729"/>
          <c:h val="0.81151443890156139"/>
        </c:manualLayout>
      </c:layout>
      <c:barChart>
        <c:barDir val="col"/>
        <c:grouping val="clustered"/>
        <c:varyColors val="0"/>
        <c:ser>
          <c:idx val="10"/>
          <c:order val="10"/>
          <c:tx>
            <c:strRef>
              <c:f>DuPont!$B$33</c:f>
              <c:strCache>
                <c:ptCount val="1"/>
                <c:pt idx="0">
                  <c:v>Financial Leverage Ratio</c:v>
                </c:pt>
              </c:strCache>
            </c:strRef>
          </c:tx>
          <c:spPr>
            <a:solidFill>
              <a:schemeClr val="accent5">
                <a:lumMod val="60000"/>
              </a:schemeClr>
            </a:solidFill>
            <a:ln>
              <a:solidFill>
                <a:schemeClr val="tx1">
                  <a:lumMod val="95000"/>
                  <a:lumOff val="5000"/>
                </a:schemeClr>
              </a:solidFill>
            </a:ln>
            <a:effectLst/>
          </c:spPr>
          <c:invertIfNegative val="0"/>
          <c:dPt>
            <c:idx val="0"/>
            <c:invertIfNegative val="0"/>
            <c:bubble3D val="0"/>
            <c:spPr>
              <a:solidFill>
                <a:schemeClr val="accent6">
                  <a:lumMod val="20000"/>
                  <a:lumOff val="80000"/>
                </a:schemeClr>
              </a:solidFill>
              <a:ln>
                <a:solidFill>
                  <a:schemeClr val="tx1">
                    <a:lumMod val="95000"/>
                    <a:lumOff val="5000"/>
                  </a:schemeClr>
                </a:solidFill>
              </a:ln>
              <a:effectLst/>
            </c:spPr>
            <c:extLst>
              <c:ext xmlns:c16="http://schemas.microsoft.com/office/drawing/2014/chart" uri="{C3380CC4-5D6E-409C-BE32-E72D297353CC}">
                <c16:uniqueId val="{00000015-3CB9-4544-84FF-1CF3348B1E4A}"/>
              </c:ext>
            </c:extLst>
          </c:dPt>
          <c:dPt>
            <c:idx val="1"/>
            <c:invertIfNegative val="0"/>
            <c:bubble3D val="0"/>
            <c:spPr>
              <a:solidFill>
                <a:schemeClr val="accent6">
                  <a:lumMod val="40000"/>
                  <a:lumOff val="60000"/>
                </a:schemeClr>
              </a:solidFill>
              <a:ln>
                <a:solidFill>
                  <a:schemeClr val="tx1">
                    <a:lumMod val="95000"/>
                    <a:lumOff val="5000"/>
                  </a:schemeClr>
                </a:solidFill>
              </a:ln>
              <a:effectLst/>
            </c:spPr>
            <c:extLst>
              <c:ext xmlns:c16="http://schemas.microsoft.com/office/drawing/2014/chart" uri="{C3380CC4-5D6E-409C-BE32-E72D297353CC}">
                <c16:uniqueId val="{00000016-3CB9-4544-84FF-1CF3348B1E4A}"/>
              </c:ext>
            </c:extLst>
          </c:dPt>
          <c:dPt>
            <c:idx val="2"/>
            <c:invertIfNegative val="0"/>
            <c:bubble3D val="0"/>
            <c:spPr>
              <a:solidFill>
                <a:schemeClr val="accent6">
                  <a:lumMod val="50000"/>
                </a:schemeClr>
              </a:solidFill>
              <a:ln>
                <a:solidFill>
                  <a:schemeClr val="tx1">
                    <a:lumMod val="95000"/>
                    <a:lumOff val="5000"/>
                  </a:schemeClr>
                </a:solidFill>
              </a:ln>
              <a:effectLst/>
            </c:spPr>
            <c:extLst>
              <c:ext xmlns:c16="http://schemas.microsoft.com/office/drawing/2014/chart" uri="{C3380CC4-5D6E-409C-BE32-E72D297353CC}">
                <c16:uniqueId val="{00000019-3CB9-4544-84FF-1CF3348B1E4A}"/>
              </c:ext>
            </c:extLst>
          </c:dPt>
          <c:dPt>
            <c:idx val="3"/>
            <c:invertIfNegative val="0"/>
            <c:bubble3D val="0"/>
            <c:spPr>
              <a:solidFill>
                <a:schemeClr val="accent6">
                  <a:lumMod val="75000"/>
                </a:schemeClr>
              </a:solidFill>
              <a:ln>
                <a:solidFill>
                  <a:schemeClr val="tx1">
                    <a:lumMod val="95000"/>
                    <a:lumOff val="5000"/>
                  </a:schemeClr>
                </a:solidFill>
              </a:ln>
              <a:effectLst/>
            </c:spPr>
            <c:extLst>
              <c:ext xmlns:c16="http://schemas.microsoft.com/office/drawing/2014/chart" uri="{C3380CC4-5D6E-409C-BE32-E72D297353CC}">
                <c16:uniqueId val="{00000018-3CB9-4544-84FF-1CF3348B1E4A}"/>
              </c:ext>
            </c:extLst>
          </c:dPt>
          <c:dPt>
            <c:idx val="4"/>
            <c:invertIfNegative val="0"/>
            <c:bubble3D val="0"/>
            <c:spPr>
              <a:solidFill>
                <a:schemeClr val="accent6">
                  <a:lumMod val="60000"/>
                  <a:lumOff val="40000"/>
                </a:schemeClr>
              </a:solidFill>
              <a:ln>
                <a:solidFill>
                  <a:schemeClr val="tx1">
                    <a:lumMod val="95000"/>
                    <a:lumOff val="5000"/>
                  </a:schemeClr>
                </a:solidFill>
              </a:ln>
              <a:effectLst/>
            </c:spPr>
            <c:extLst>
              <c:ext xmlns:c16="http://schemas.microsoft.com/office/drawing/2014/chart" uri="{C3380CC4-5D6E-409C-BE32-E72D297353CC}">
                <c16:uniqueId val="{00000017-3CB9-4544-84FF-1CF3348B1E4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KZ"/>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DuPont!$C$22:$H$22</c15:sqref>
                  </c15:fullRef>
                </c:ext>
              </c:extLst>
              <c:f>DuPont!$D$22:$H$22</c:f>
              <c:numCache>
                <c:formatCode>General</c:formatCode>
                <c:ptCount val="5"/>
                <c:pt idx="0">
                  <c:v>2021</c:v>
                </c:pt>
                <c:pt idx="1">
                  <c:v>2022</c:v>
                </c:pt>
                <c:pt idx="2">
                  <c:v>2023</c:v>
                </c:pt>
                <c:pt idx="3">
                  <c:v>2024</c:v>
                </c:pt>
                <c:pt idx="4">
                  <c:v>2025</c:v>
                </c:pt>
              </c:numCache>
            </c:numRef>
          </c:cat>
          <c:val>
            <c:numRef>
              <c:extLst>
                <c:ext xmlns:c15="http://schemas.microsoft.com/office/drawing/2012/chart" uri="{02D57815-91ED-43cb-92C2-25804820EDAC}">
                  <c15:fullRef>
                    <c15:sqref>DuPont!$C$33:$H$33</c15:sqref>
                  </c15:fullRef>
                </c:ext>
              </c:extLst>
              <c:f>DuPont!$D$33:$H$33</c:f>
              <c:numCache>
                <c:formatCode>0.00\x</c:formatCode>
                <c:ptCount val="5"/>
                <c:pt idx="0">
                  <c:v>3.0687793093647859</c:v>
                </c:pt>
                <c:pt idx="1">
                  <c:v>3.3913842710997444</c:v>
                </c:pt>
                <c:pt idx="2">
                  <c:v>4.0025070510811656</c:v>
                </c:pt>
                <c:pt idx="3">
                  <c:v>3.8455801929004672</c:v>
                </c:pt>
                <c:pt idx="4">
                  <c:v>3.6364201919658727</c:v>
                </c:pt>
              </c:numCache>
            </c:numRef>
          </c:val>
          <c:extLst>
            <c:ext xmlns:c16="http://schemas.microsoft.com/office/drawing/2014/chart" uri="{C3380CC4-5D6E-409C-BE32-E72D297353CC}">
              <c16:uniqueId val="{00000014-3CB9-4544-84FF-1CF3348B1E4A}"/>
            </c:ext>
          </c:extLst>
        </c:ser>
        <c:dLbls>
          <c:showLegendKey val="0"/>
          <c:showVal val="0"/>
          <c:showCatName val="0"/>
          <c:showSerName val="0"/>
          <c:showPercent val="0"/>
          <c:showBubbleSize val="0"/>
        </c:dLbls>
        <c:gapWidth val="219"/>
        <c:overlap val="-27"/>
        <c:axId val="234464383"/>
        <c:axId val="234464863"/>
        <c:extLst>
          <c:ext xmlns:c15="http://schemas.microsoft.com/office/drawing/2012/chart" uri="{02D57815-91ED-43cb-92C2-25804820EDAC}">
            <c15:filteredBarSeries>
              <c15:ser>
                <c:idx val="0"/>
                <c:order val="0"/>
                <c:tx>
                  <c:strRef>
                    <c:extLst>
                      <c:ext uri="{02D57815-91ED-43cb-92C2-25804820EDAC}">
                        <c15:formulaRef>
                          <c15:sqref>DuPont!$B$23</c15:sqref>
                        </c15:formulaRef>
                      </c:ext>
                    </c:extLst>
                    <c:strCache>
                      <c:ptCount val="1"/>
                      <c:pt idx="0">
                        <c:v>Net Income</c:v>
                      </c:pt>
                    </c:strCache>
                  </c:strRef>
                </c:tx>
                <c:spPr>
                  <a:solidFill>
                    <a:schemeClr val="accent1"/>
                  </a:solidFill>
                  <a:ln>
                    <a:noFill/>
                  </a:ln>
                  <a:effectLst/>
                </c:spPr>
                <c:invertIfNegative val="0"/>
                <c:cat>
                  <c:numRef>
                    <c:extLst>
                      <c:ext uri="{02D57815-91ED-43cb-92C2-25804820EDAC}">
                        <c15:fullRef>
                          <c15:sqref>DuPont!$C$22:$H$22</c15:sqref>
                        </c15:fullRef>
                        <c15:formulaRef>
                          <c15:sqref>DuPont!$D$22:$H$22</c15:sqref>
                        </c15:formulaRef>
                      </c:ext>
                    </c:extLst>
                    <c:numCache>
                      <c:formatCode>General</c:formatCode>
                      <c:ptCount val="5"/>
                      <c:pt idx="0">
                        <c:v>2021</c:v>
                      </c:pt>
                      <c:pt idx="1">
                        <c:v>2022</c:v>
                      </c:pt>
                      <c:pt idx="2">
                        <c:v>2023</c:v>
                      </c:pt>
                      <c:pt idx="3">
                        <c:v>2024</c:v>
                      </c:pt>
                      <c:pt idx="4">
                        <c:v>2025</c:v>
                      </c:pt>
                    </c:numCache>
                  </c:numRef>
                </c:cat>
                <c:val>
                  <c:numRef>
                    <c:extLst>
                      <c:ext uri="{02D57815-91ED-43cb-92C2-25804820EDAC}">
                        <c15:fullRef>
                          <c15:sqref>DuPont!$C$23:$H$23</c15:sqref>
                        </c15:fullRef>
                        <c15:formulaRef>
                          <c15:sqref>DuPont!$D$23:$H$23</c15:sqref>
                        </c15:formulaRef>
                      </c:ext>
                    </c:extLst>
                    <c:numCache>
                      <c:formatCode>0.00</c:formatCode>
                      <c:ptCount val="5"/>
                      <c:pt idx="0">
                        <c:v>1492</c:v>
                      </c:pt>
                      <c:pt idx="1">
                        <c:v>254</c:v>
                      </c:pt>
                      <c:pt idx="2">
                        <c:v>-58</c:v>
                      </c:pt>
                      <c:pt idx="3">
                        <c:v>824</c:v>
                      </c:pt>
                      <c:pt idx="4">
                        <c:v>1377</c:v>
                      </c:pt>
                    </c:numCache>
                  </c:numRef>
                </c:val>
                <c:extLst>
                  <c:ext xmlns:c16="http://schemas.microsoft.com/office/drawing/2014/chart" uri="{C3380CC4-5D6E-409C-BE32-E72D297353CC}">
                    <c16:uniqueId val="{0000000B-3CB9-4544-84FF-1CF3348B1E4A}"/>
                  </c:ext>
                </c:extLst>
              </c15:ser>
            </c15:filteredBarSeries>
            <c15:filteredBarSeries>
              <c15:ser>
                <c:idx val="1"/>
                <c:order val="1"/>
                <c:tx>
                  <c:strRef>
                    <c:extLst>
                      <c:ext xmlns:c15="http://schemas.microsoft.com/office/drawing/2012/chart" uri="{02D57815-91ED-43cb-92C2-25804820EDAC}">
                        <c15:formulaRef>
                          <c15:sqref>DuPont!$B$24</c15:sqref>
                        </c15:formulaRef>
                      </c:ext>
                    </c:extLst>
                    <c:strCache>
                      <c:ptCount val="1"/>
                      <c:pt idx="0">
                        <c:v>Revenue</c:v>
                      </c:pt>
                    </c:strCache>
                  </c:strRef>
                </c:tx>
                <c:spPr>
                  <a:solidFill>
                    <a:schemeClr val="accent2"/>
                  </a:solidFill>
                  <a:ln>
                    <a:noFill/>
                  </a:ln>
                  <a:effectLst/>
                </c:spPr>
                <c:invertIfNegative val="0"/>
                <c:dPt>
                  <c:idx val="4"/>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9-3CB9-4544-84FF-1CF3348B1E4A}"/>
                    </c:ext>
                  </c:extLst>
                </c:dPt>
                <c:cat>
                  <c:numRef>
                    <c:extLst>
                      <c:ext xmlns:c15="http://schemas.microsoft.com/office/drawing/2012/chart" uri="{02D57815-91ED-43cb-92C2-25804820EDAC}">
                        <c15:fullRef>
                          <c15:sqref>DuPont!$C$22:$H$22</c15:sqref>
                        </c15:fullRef>
                        <c15:formulaRef>
                          <c15:sqref>DuPont!$D$22:$H$22</c15:sqref>
                        </c15:formulaRef>
                      </c:ext>
                    </c:extLst>
                    <c:numCache>
                      <c:formatCode>General</c:formatCode>
                      <c:ptCount val="5"/>
                      <c:pt idx="0">
                        <c:v>2021</c:v>
                      </c:pt>
                      <c:pt idx="1">
                        <c:v>2022</c:v>
                      </c:pt>
                      <c:pt idx="2">
                        <c:v>2023</c:v>
                      </c:pt>
                      <c:pt idx="3">
                        <c:v>2024</c:v>
                      </c:pt>
                      <c:pt idx="4">
                        <c:v>2025</c:v>
                      </c:pt>
                    </c:numCache>
                  </c:numRef>
                </c:cat>
                <c:val>
                  <c:numRef>
                    <c:extLst>
                      <c:ext xmlns:c15="http://schemas.microsoft.com/office/drawing/2012/chart" uri="{02D57815-91ED-43cb-92C2-25804820EDAC}">
                        <c15:fullRef>
                          <c15:sqref>DuPont!$C$24:$H$24</c15:sqref>
                        </c15:fullRef>
                        <c15:formulaRef>
                          <c15:sqref>DuPont!$D$24:$H$24</c15:sqref>
                        </c15:formulaRef>
                      </c:ext>
                    </c:extLst>
                    <c:numCache>
                      <c:formatCode>0.00</c:formatCode>
                      <c:ptCount val="5"/>
                      <c:pt idx="0">
                        <c:v>21234</c:v>
                      </c:pt>
                      <c:pt idx="1">
                        <c:v>22511</c:v>
                      </c:pt>
                      <c:pt idx="2">
                        <c:v>21427</c:v>
                      </c:pt>
                      <c:pt idx="3">
                        <c:v>23683</c:v>
                      </c:pt>
                      <c:pt idx="4">
                        <c:v>24811</c:v>
                      </c:pt>
                    </c:numCache>
                  </c:numRef>
                </c:val>
                <c:extLst>
                  <c:ext xmlns:c16="http://schemas.microsoft.com/office/drawing/2014/chart" uri="{C3380CC4-5D6E-409C-BE32-E72D297353CC}">
                    <c16:uniqueId val="{0000000A-3CB9-4544-84FF-1CF3348B1E4A}"/>
                  </c:ext>
                </c:extLst>
              </c15:ser>
            </c15:filteredBarSeries>
            <c15:filteredBarSeries>
              <c15:ser>
                <c:idx val="2"/>
                <c:order val="2"/>
                <c:tx>
                  <c:strRef>
                    <c:extLst>
                      <c:ext xmlns:c15="http://schemas.microsoft.com/office/drawing/2012/chart" uri="{02D57815-91ED-43cb-92C2-25804820EDAC}">
                        <c15:formulaRef>
                          <c15:sqref>DuPont!$B$25</c15:sqref>
                        </c15:formulaRef>
                      </c:ext>
                    </c:extLst>
                    <c:strCache>
                      <c:ptCount val="1"/>
                      <c:pt idx="0">
                        <c:v>Net Profit Margin</c:v>
                      </c:pt>
                    </c:strCache>
                  </c:strRef>
                </c:tx>
                <c:spPr>
                  <a:solidFill>
                    <a:schemeClr val="accent3"/>
                  </a:solidFill>
                  <a:ln>
                    <a:noFill/>
                  </a:ln>
                  <a:effectLst/>
                </c:spPr>
                <c:invertIfNegative val="0"/>
                <c:cat>
                  <c:numRef>
                    <c:extLst>
                      <c:ext xmlns:c15="http://schemas.microsoft.com/office/drawing/2012/chart" uri="{02D57815-91ED-43cb-92C2-25804820EDAC}">
                        <c15:fullRef>
                          <c15:sqref>DuPont!$C$22:$H$22</c15:sqref>
                        </c15:fullRef>
                        <c15:formulaRef>
                          <c15:sqref>DuPont!$D$22:$H$22</c15:sqref>
                        </c15:formulaRef>
                      </c:ext>
                    </c:extLst>
                    <c:numCache>
                      <c:formatCode>General</c:formatCode>
                      <c:ptCount val="5"/>
                      <c:pt idx="0">
                        <c:v>2021</c:v>
                      </c:pt>
                      <c:pt idx="1">
                        <c:v>2022</c:v>
                      </c:pt>
                      <c:pt idx="2">
                        <c:v>2023</c:v>
                      </c:pt>
                      <c:pt idx="3">
                        <c:v>2024</c:v>
                      </c:pt>
                      <c:pt idx="4">
                        <c:v>2025</c:v>
                      </c:pt>
                    </c:numCache>
                  </c:numRef>
                </c:cat>
                <c:val>
                  <c:numRef>
                    <c:extLst>
                      <c:ext xmlns:c15="http://schemas.microsoft.com/office/drawing/2012/chart" uri="{02D57815-91ED-43cb-92C2-25804820EDAC}">
                        <c15:fullRef>
                          <c15:sqref>DuPont!$C$25:$H$25</c15:sqref>
                        </c15:fullRef>
                        <c15:formulaRef>
                          <c15:sqref>DuPont!$D$25:$H$25</c15:sqref>
                        </c15:formulaRef>
                      </c:ext>
                    </c:extLst>
                    <c:numCache>
                      <c:formatCode>0.00%</c:formatCode>
                      <c:ptCount val="5"/>
                      <c:pt idx="0">
                        <c:v>7.0264669869077895E-2</c:v>
                      </c:pt>
                      <c:pt idx="1">
                        <c:v>1.1283372573408557E-2</c:v>
                      </c:pt>
                      <c:pt idx="2">
                        <c:v>-2.706865170112475E-3</c:v>
                      </c:pt>
                      <c:pt idx="3">
                        <c:v>3.4792889414347841E-2</c:v>
                      </c:pt>
                      <c:pt idx="4">
                        <c:v>5.5499576800612634E-2</c:v>
                      </c:pt>
                    </c:numCache>
                  </c:numRef>
                </c:val>
                <c:extLst>
                  <c:ext xmlns:c16="http://schemas.microsoft.com/office/drawing/2014/chart" uri="{C3380CC4-5D6E-409C-BE32-E72D297353CC}">
                    <c16:uniqueId val="{0000000C-3CB9-4544-84FF-1CF3348B1E4A}"/>
                  </c:ext>
                </c:extLst>
              </c15:ser>
            </c15:filteredBarSeries>
            <c15:filteredBarSeries>
              <c15:ser>
                <c:idx val="3"/>
                <c:order val="3"/>
                <c:tx>
                  <c:strRef>
                    <c:extLst>
                      <c:ext xmlns:c15="http://schemas.microsoft.com/office/drawing/2012/chart" uri="{02D57815-91ED-43cb-92C2-25804820EDAC}">
                        <c15:formulaRef>
                          <c15:sqref>DuPont!$B$26</c15:sqref>
                        </c15:formulaRef>
                      </c:ext>
                    </c:extLst>
                    <c:strCache>
                      <c:ptCount val="1"/>
                    </c:strCache>
                  </c:strRef>
                </c:tx>
                <c:spPr>
                  <a:solidFill>
                    <a:schemeClr val="accent4"/>
                  </a:solidFill>
                  <a:ln>
                    <a:noFill/>
                  </a:ln>
                  <a:effectLst/>
                </c:spPr>
                <c:invertIfNegative val="0"/>
                <c:cat>
                  <c:numRef>
                    <c:extLst>
                      <c:ext xmlns:c15="http://schemas.microsoft.com/office/drawing/2012/chart" uri="{02D57815-91ED-43cb-92C2-25804820EDAC}">
                        <c15:fullRef>
                          <c15:sqref>DuPont!$C$22:$H$22</c15:sqref>
                        </c15:fullRef>
                        <c15:formulaRef>
                          <c15:sqref>DuPont!$D$22:$H$22</c15:sqref>
                        </c15:formulaRef>
                      </c:ext>
                    </c:extLst>
                    <c:numCache>
                      <c:formatCode>General</c:formatCode>
                      <c:ptCount val="5"/>
                      <c:pt idx="0">
                        <c:v>2021</c:v>
                      </c:pt>
                      <c:pt idx="1">
                        <c:v>2022</c:v>
                      </c:pt>
                      <c:pt idx="2">
                        <c:v>2023</c:v>
                      </c:pt>
                      <c:pt idx="3">
                        <c:v>2024</c:v>
                      </c:pt>
                      <c:pt idx="4">
                        <c:v>2025</c:v>
                      </c:pt>
                    </c:numCache>
                  </c:numRef>
                </c:cat>
                <c:val>
                  <c:numRef>
                    <c:extLst>
                      <c:ext xmlns:c15="http://schemas.microsoft.com/office/drawing/2012/chart" uri="{02D57815-91ED-43cb-92C2-25804820EDAC}">
                        <c15:fullRef>
                          <c15:sqref>DuPont!$C$26:$H$26</c15:sqref>
                        </c15:fullRef>
                        <c15:formulaRef>
                          <c15:sqref>DuPont!$D$26:$H$26</c15:sqref>
                        </c15:formulaRef>
                      </c:ext>
                    </c:extLst>
                    <c:numCache>
                      <c:formatCode>General</c:formatCode>
                      <c:ptCount val="5"/>
                    </c:numCache>
                  </c:numRef>
                </c:val>
                <c:extLst>
                  <c:ext xmlns:c16="http://schemas.microsoft.com/office/drawing/2014/chart" uri="{C3380CC4-5D6E-409C-BE32-E72D297353CC}">
                    <c16:uniqueId val="{0000000D-3CB9-4544-84FF-1CF3348B1E4A}"/>
                  </c:ext>
                </c:extLst>
              </c15:ser>
            </c15:filteredBarSeries>
            <c15:filteredBarSeries>
              <c15:ser>
                <c:idx val="4"/>
                <c:order val="4"/>
                <c:tx>
                  <c:strRef>
                    <c:extLst>
                      <c:ext xmlns:c15="http://schemas.microsoft.com/office/drawing/2012/chart" uri="{02D57815-91ED-43cb-92C2-25804820EDAC}">
                        <c15:formulaRef>
                          <c15:sqref>DuPont!$B$27</c15:sqref>
                        </c15:formulaRef>
                      </c:ext>
                    </c:extLst>
                    <c:strCache>
                      <c:ptCount val="1"/>
                      <c:pt idx="0">
                        <c:v>Revenue</c:v>
                      </c:pt>
                    </c:strCache>
                  </c:strRef>
                </c:tx>
                <c:spPr>
                  <a:solidFill>
                    <a:schemeClr val="accent5"/>
                  </a:solidFill>
                  <a:ln>
                    <a:noFill/>
                  </a:ln>
                  <a:effectLst/>
                </c:spPr>
                <c:invertIfNegative val="0"/>
                <c:cat>
                  <c:numRef>
                    <c:extLst>
                      <c:ext xmlns:c15="http://schemas.microsoft.com/office/drawing/2012/chart" uri="{02D57815-91ED-43cb-92C2-25804820EDAC}">
                        <c15:fullRef>
                          <c15:sqref>DuPont!$C$22:$H$22</c15:sqref>
                        </c15:fullRef>
                        <c15:formulaRef>
                          <c15:sqref>DuPont!$D$22:$H$22</c15:sqref>
                        </c15:formulaRef>
                      </c:ext>
                    </c:extLst>
                    <c:numCache>
                      <c:formatCode>General</c:formatCode>
                      <c:ptCount val="5"/>
                      <c:pt idx="0">
                        <c:v>2021</c:v>
                      </c:pt>
                      <c:pt idx="1">
                        <c:v>2022</c:v>
                      </c:pt>
                      <c:pt idx="2">
                        <c:v>2023</c:v>
                      </c:pt>
                      <c:pt idx="3">
                        <c:v>2024</c:v>
                      </c:pt>
                      <c:pt idx="4">
                        <c:v>2025</c:v>
                      </c:pt>
                    </c:numCache>
                  </c:numRef>
                </c:cat>
                <c:val>
                  <c:numRef>
                    <c:extLst>
                      <c:ext xmlns:c15="http://schemas.microsoft.com/office/drawing/2012/chart" uri="{02D57815-91ED-43cb-92C2-25804820EDAC}">
                        <c15:fullRef>
                          <c15:sqref>DuPont!$C$27:$H$27</c15:sqref>
                        </c15:fullRef>
                        <c15:formulaRef>
                          <c15:sqref>DuPont!$D$27:$H$27</c15:sqref>
                        </c15:formulaRef>
                      </c:ext>
                    </c:extLst>
                    <c:numCache>
                      <c:formatCode>0.00</c:formatCode>
                      <c:ptCount val="5"/>
                      <c:pt idx="0">
                        <c:v>21234</c:v>
                      </c:pt>
                      <c:pt idx="1">
                        <c:v>22511</c:v>
                      </c:pt>
                      <c:pt idx="2">
                        <c:v>21427</c:v>
                      </c:pt>
                      <c:pt idx="3">
                        <c:v>23683</c:v>
                      </c:pt>
                      <c:pt idx="4">
                        <c:v>24811</c:v>
                      </c:pt>
                    </c:numCache>
                  </c:numRef>
                </c:val>
                <c:extLst>
                  <c:ext xmlns:c16="http://schemas.microsoft.com/office/drawing/2014/chart" uri="{C3380CC4-5D6E-409C-BE32-E72D297353CC}">
                    <c16:uniqueId val="{0000000E-3CB9-4544-84FF-1CF3348B1E4A}"/>
                  </c:ext>
                </c:extLst>
              </c15:ser>
            </c15:filteredBarSeries>
            <c15:filteredBarSeries>
              <c15:ser>
                <c:idx val="5"/>
                <c:order val="5"/>
                <c:tx>
                  <c:strRef>
                    <c:extLst>
                      <c:ext xmlns:c15="http://schemas.microsoft.com/office/drawing/2012/chart" uri="{02D57815-91ED-43cb-92C2-25804820EDAC}">
                        <c15:formulaRef>
                          <c15:sqref>DuPont!$B$28</c15:sqref>
                        </c15:formulaRef>
                      </c:ext>
                    </c:extLst>
                    <c:strCache>
                      <c:ptCount val="1"/>
                      <c:pt idx="0">
                        <c:v>Avg Total Assets(not 2020)</c:v>
                      </c:pt>
                    </c:strCache>
                  </c:strRef>
                </c:tx>
                <c:spPr>
                  <a:solidFill>
                    <a:schemeClr val="accent6"/>
                  </a:solidFill>
                  <a:ln>
                    <a:noFill/>
                  </a:ln>
                  <a:effectLst/>
                </c:spPr>
                <c:invertIfNegative val="0"/>
                <c:cat>
                  <c:numRef>
                    <c:extLst>
                      <c:ext xmlns:c15="http://schemas.microsoft.com/office/drawing/2012/chart" uri="{02D57815-91ED-43cb-92C2-25804820EDAC}">
                        <c15:fullRef>
                          <c15:sqref>DuPont!$C$22:$H$22</c15:sqref>
                        </c15:fullRef>
                        <c15:formulaRef>
                          <c15:sqref>DuPont!$D$22:$H$22</c15:sqref>
                        </c15:formulaRef>
                      </c:ext>
                    </c:extLst>
                    <c:numCache>
                      <c:formatCode>General</c:formatCode>
                      <c:ptCount val="5"/>
                      <c:pt idx="0">
                        <c:v>2021</c:v>
                      </c:pt>
                      <c:pt idx="1">
                        <c:v>2022</c:v>
                      </c:pt>
                      <c:pt idx="2">
                        <c:v>2023</c:v>
                      </c:pt>
                      <c:pt idx="3">
                        <c:v>2024</c:v>
                      </c:pt>
                      <c:pt idx="4">
                        <c:v>2025</c:v>
                      </c:pt>
                    </c:numCache>
                  </c:numRef>
                </c:cat>
                <c:val>
                  <c:numRef>
                    <c:extLst>
                      <c:ext xmlns:c15="http://schemas.microsoft.com/office/drawing/2012/chart" uri="{02D57815-91ED-43cb-92C2-25804820EDAC}">
                        <c15:fullRef>
                          <c15:sqref>DuPont!$C$28:$H$28</c15:sqref>
                        </c15:fullRef>
                        <c15:formulaRef>
                          <c15:sqref>DuPont!$D$28:$H$28</c15:sqref>
                        </c15:formulaRef>
                      </c:ext>
                    </c:extLst>
                    <c:numCache>
                      <c:formatCode>0.00</c:formatCode>
                      <c:ptCount val="5"/>
                      <c:pt idx="0">
                        <c:v>21595</c:v>
                      </c:pt>
                      <c:pt idx="1">
                        <c:v>21216.5</c:v>
                      </c:pt>
                      <c:pt idx="2">
                        <c:v>19158</c:v>
                      </c:pt>
                      <c:pt idx="3">
                        <c:v>19337.5</c:v>
                      </c:pt>
                      <c:pt idx="4">
                        <c:v>20458.5</c:v>
                      </c:pt>
                    </c:numCache>
                  </c:numRef>
                </c:val>
                <c:extLst>
                  <c:ext xmlns:c16="http://schemas.microsoft.com/office/drawing/2014/chart" uri="{C3380CC4-5D6E-409C-BE32-E72D297353CC}">
                    <c16:uniqueId val="{0000000F-3CB9-4544-84FF-1CF3348B1E4A}"/>
                  </c:ext>
                </c:extLst>
              </c15:ser>
            </c15:filteredBarSeries>
            <c15:filteredBarSeries>
              <c15:ser>
                <c:idx val="6"/>
                <c:order val="6"/>
                <c:tx>
                  <c:strRef>
                    <c:extLst>
                      <c:ext xmlns:c15="http://schemas.microsoft.com/office/drawing/2012/chart" uri="{02D57815-91ED-43cb-92C2-25804820EDAC}">
                        <c15:formulaRef>
                          <c15:sqref>DuPont!$B$29</c15:sqref>
                        </c15:formulaRef>
                      </c:ext>
                    </c:extLst>
                    <c:strCache>
                      <c:ptCount val="1"/>
                      <c:pt idx="0">
                        <c:v>Asset  Turnover Ratio</c:v>
                      </c:pt>
                    </c:strCache>
                  </c:strRef>
                </c:tx>
                <c:spPr>
                  <a:solidFill>
                    <a:schemeClr val="accent1">
                      <a:lumMod val="60000"/>
                    </a:schemeClr>
                  </a:solidFill>
                  <a:ln>
                    <a:noFill/>
                  </a:ln>
                  <a:effectLst/>
                </c:spPr>
                <c:invertIfNegative val="0"/>
                <c:cat>
                  <c:numRef>
                    <c:extLst>
                      <c:ext xmlns:c15="http://schemas.microsoft.com/office/drawing/2012/chart" uri="{02D57815-91ED-43cb-92C2-25804820EDAC}">
                        <c15:fullRef>
                          <c15:sqref>DuPont!$C$22:$H$22</c15:sqref>
                        </c15:fullRef>
                        <c15:formulaRef>
                          <c15:sqref>DuPont!$D$22:$H$22</c15:sqref>
                        </c15:formulaRef>
                      </c:ext>
                    </c:extLst>
                    <c:numCache>
                      <c:formatCode>General</c:formatCode>
                      <c:ptCount val="5"/>
                      <c:pt idx="0">
                        <c:v>2021</c:v>
                      </c:pt>
                      <c:pt idx="1">
                        <c:v>2022</c:v>
                      </c:pt>
                      <c:pt idx="2">
                        <c:v>2023</c:v>
                      </c:pt>
                      <c:pt idx="3">
                        <c:v>2024</c:v>
                      </c:pt>
                      <c:pt idx="4">
                        <c:v>2025</c:v>
                      </c:pt>
                    </c:numCache>
                  </c:numRef>
                </c:cat>
                <c:val>
                  <c:numRef>
                    <c:extLst>
                      <c:ext xmlns:c15="http://schemas.microsoft.com/office/drawing/2012/chart" uri="{02D57815-91ED-43cb-92C2-25804820EDAC}">
                        <c15:fullRef>
                          <c15:sqref>DuPont!$C$29:$H$29</c15:sqref>
                        </c15:fullRef>
                        <c15:formulaRef>
                          <c15:sqref>DuPont!$D$29:$H$29</c15:sqref>
                        </c15:formulaRef>
                      </c:ext>
                    </c:extLst>
                    <c:numCache>
                      <c:formatCode>0.00\x</c:formatCode>
                      <c:ptCount val="5"/>
                      <c:pt idx="0">
                        <c:v>0.9832831673998611</c:v>
                      </c:pt>
                      <c:pt idx="1">
                        <c:v>1.0610138335729267</c:v>
                      </c:pt>
                      <c:pt idx="2">
                        <c:v>1.1184361624386678</c:v>
                      </c:pt>
                      <c:pt idx="3">
                        <c:v>1.2247188106011635</c:v>
                      </c:pt>
                      <c:pt idx="4">
                        <c:v>1.2127477576557422</c:v>
                      </c:pt>
                    </c:numCache>
                  </c:numRef>
                </c:val>
                <c:extLst>
                  <c:ext xmlns:c16="http://schemas.microsoft.com/office/drawing/2014/chart" uri="{C3380CC4-5D6E-409C-BE32-E72D297353CC}">
                    <c16:uniqueId val="{00000010-3CB9-4544-84FF-1CF3348B1E4A}"/>
                  </c:ext>
                </c:extLst>
              </c15:ser>
            </c15:filteredBarSeries>
            <c15:filteredBarSeries>
              <c15:ser>
                <c:idx val="7"/>
                <c:order val="7"/>
                <c:tx>
                  <c:strRef>
                    <c:extLst>
                      <c:ext xmlns:c15="http://schemas.microsoft.com/office/drawing/2012/chart" uri="{02D57815-91ED-43cb-92C2-25804820EDAC}">
                        <c15:formulaRef>
                          <c15:sqref>DuPont!$B$30</c15:sqref>
                        </c15:formulaRef>
                      </c:ext>
                    </c:extLst>
                    <c:strCache>
                      <c:ptCount val="1"/>
                    </c:strCache>
                  </c:strRef>
                </c:tx>
                <c:spPr>
                  <a:solidFill>
                    <a:schemeClr val="accent2">
                      <a:lumMod val="60000"/>
                    </a:schemeClr>
                  </a:solidFill>
                  <a:ln>
                    <a:noFill/>
                  </a:ln>
                  <a:effectLst/>
                </c:spPr>
                <c:invertIfNegative val="0"/>
                <c:cat>
                  <c:numRef>
                    <c:extLst>
                      <c:ext xmlns:c15="http://schemas.microsoft.com/office/drawing/2012/chart" uri="{02D57815-91ED-43cb-92C2-25804820EDAC}">
                        <c15:fullRef>
                          <c15:sqref>DuPont!$C$22:$H$22</c15:sqref>
                        </c15:fullRef>
                        <c15:formulaRef>
                          <c15:sqref>DuPont!$D$22:$H$22</c15:sqref>
                        </c15:formulaRef>
                      </c:ext>
                    </c:extLst>
                    <c:numCache>
                      <c:formatCode>General</c:formatCode>
                      <c:ptCount val="5"/>
                      <c:pt idx="0">
                        <c:v>2021</c:v>
                      </c:pt>
                      <c:pt idx="1">
                        <c:v>2022</c:v>
                      </c:pt>
                      <c:pt idx="2">
                        <c:v>2023</c:v>
                      </c:pt>
                      <c:pt idx="3">
                        <c:v>2024</c:v>
                      </c:pt>
                      <c:pt idx="4">
                        <c:v>2025</c:v>
                      </c:pt>
                    </c:numCache>
                  </c:numRef>
                </c:cat>
                <c:val>
                  <c:numRef>
                    <c:extLst>
                      <c:ext xmlns:c15="http://schemas.microsoft.com/office/drawing/2012/chart" uri="{02D57815-91ED-43cb-92C2-25804820EDAC}">
                        <c15:fullRef>
                          <c15:sqref>DuPont!$C$30:$H$30</c15:sqref>
                        </c15:fullRef>
                        <c15:formulaRef>
                          <c15:sqref>DuPont!$D$30:$H$30</c15:sqref>
                        </c15:formulaRef>
                      </c:ext>
                    </c:extLst>
                    <c:numCache>
                      <c:formatCode>General</c:formatCode>
                      <c:ptCount val="5"/>
                    </c:numCache>
                  </c:numRef>
                </c:val>
                <c:extLst>
                  <c:ext xmlns:c16="http://schemas.microsoft.com/office/drawing/2014/chart" uri="{C3380CC4-5D6E-409C-BE32-E72D297353CC}">
                    <c16:uniqueId val="{00000011-3CB9-4544-84FF-1CF3348B1E4A}"/>
                  </c:ext>
                </c:extLst>
              </c15:ser>
            </c15:filteredBarSeries>
            <c15:filteredBarSeries>
              <c15:ser>
                <c:idx val="8"/>
                <c:order val="8"/>
                <c:tx>
                  <c:strRef>
                    <c:extLst>
                      <c:ext xmlns:c15="http://schemas.microsoft.com/office/drawing/2012/chart" uri="{02D57815-91ED-43cb-92C2-25804820EDAC}">
                        <c15:formulaRef>
                          <c15:sqref>DuPont!$B$31</c15:sqref>
                        </c15:formulaRef>
                      </c:ext>
                    </c:extLst>
                    <c:strCache>
                      <c:ptCount val="1"/>
                      <c:pt idx="0">
                        <c:v>Avg Total Assets(not 2020)</c:v>
                      </c:pt>
                    </c:strCache>
                  </c:strRef>
                </c:tx>
                <c:spPr>
                  <a:solidFill>
                    <a:schemeClr val="accent3">
                      <a:lumMod val="60000"/>
                    </a:schemeClr>
                  </a:solidFill>
                  <a:ln>
                    <a:noFill/>
                  </a:ln>
                  <a:effectLst/>
                </c:spPr>
                <c:invertIfNegative val="0"/>
                <c:cat>
                  <c:numRef>
                    <c:extLst>
                      <c:ext xmlns:c15="http://schemas.microsoft.com/office/drawing/2012/chart" uri="{02D57815-91ED-43cb-92C2-25804820EDAC}">
                        <c15:fullRef>
                          <c15:sqref>DuPont!$C$22:$H$22</c15:sqref>
                        </c15:fullRef>
                        <c15:formulaRef>
                          <c15:sqref>DuPont!$D$22:$H$22</c15:sqref>
                        </c15:formulaRef>
                      </c:ext>
                    </c:extLst>
                    <c:numCache>
                      <c:formatCode>General</c:formatCode>
                      <c:ptCount val="5"/>
                      <c:pt idx="0">
                        <c:v>2021</c:v>
                      </c:pt>
                      <c:pt idx="1">
                        <c:v>2022</c:v>
                      </c:pt>
                      <c:pt idx="2">
                        <c:v>2023</c:v>
                      </c:pt>
                      <c:pt idx="3">
                        <c:v>2024</c:v>
                      </c:pt>
                      <c:pt idx="4">
                        <c:v>2025</c:v>
                      </c:pt>
                    </c:numCache>
                  </c:numRef>
                </c:cat>
                <c:val>
                  <c:numRef>
                    <c:extLst>
                      <c:ext xmlns:c15="http://schemas.microsoft.com/office/drawing/2012/chart" uri="{02D57815-91ED-43cb-92C2-25804820EDAC}">
                        <c15:fullRef>
                          <c15:sqref>DuPont!$C$31:$H$31</c15:sqref>
                        </c15:fullRef>
                        <c15:formulaRef>
                          <c15:sqref>DuPont!$D$31:$H$31</c15:sqref>
                        </c15:formulaRef>
                      </c:ext>
                    </c:extLst>
                    <c:numCache>
                      <c:formatCode>0.00</c:formatCode>
                      <c:ptCount val="5"/>
                      <c:pt idx="0">
                        <c:v>21595</c:v>
                      </c:pt>
                      <c:pt idx="1">
                        <c:v>21216.5</c:v>
                      </c:pt>
                      <c:pt idx="2">
                        <c:v>19158</c:v>
                      </c:pt>
                      <c:pt idx="3">
                        <c:v>19337.5</c:v>
                      </c:pt>
                      <c:pt idx="4">
                        <c:v>20458.5</c:v>
                      </c:pt>
                    </c:numCache>
                  </c:numRef>
                </c:val>
                <c:extLst>
                  <c:ext xmlns:c16="http://schemas.microsoft.com/office/drawing/2014/chart" uri="{C3380CC4-5D6E-409C-BE32-E72D297353CC}">
                    <c16:uniqueId val="{00000012-3CB9-4544-84FF-1CF3348B1E4A}"/>
                  </c:ext>
                </c:extLst>
              </c15:ser>
            </c15:filteredBarSeries>
            <c15:filteredBarSeries>
              <c15:ser>
                <c:idx val="9"/>
                <c:order val="9"/>
                <c:tx>
                  <c:strRef>
                    <c:extLst>
                      <c:ext xmlns:c15="http://schemas.microsoft.com/office/drawing/2012/chart" uri="{02D57815-91ED-43cb-92C2-25804820EDAC}">
                        <c15:formulaRef>
                          <c15:sqref>DuPont!$B$32</c15:sqref>
                        </c15:formulaRef>
                      </c:ext>
                    </c:extLst>
                    <c:strCache>
                      <c:ptCount val="1"/>
                      <c:pt idx="0">
                        <c:v>Avg Shareholders Equity</c:v>
                      </c:pt>
                    </c:strCache>
                  </c:strRef>
                </c:tx>
                <c:spPr>
                  <a:solidFill>
                    <a:schemeClr val="accent4">
                      <a:lumMod val="60000"/>
                    </a:schemeClr>
                  </a:solidFill>
                  <a:ln>
                    <a:noFill/>
                  </a:ln>
                  <a:effectLst/>
                </c:spPr>
                <c:invertIfNegative val="0"/>
                <c:cat>
                  <c:numRef>
                    <c:extLst>
                      <c:ext xmlns:c15="http://schemas.microsoft.com/office/drawing/2012/chart" uri="{02D57815-91ED-43cb-92C2-25804820EDAC}">
                        <c15:fullRef>
                          <c15:sqref>DuPont!$C$22:$H$22</c15:sqref>
                        </c15:fullRef>
                        <c15:formulaRef>
                          <c15:sqref>DuPont!$D$22:$H$22</c15:sqref>
                        </c15:formulaRef>
                      </c:ext>
                    </c:extLst>
                    <c:numCache>
                      <c:formatCode>General</c:formatCode>
                      <c:ptCount val="5"/>
                      <c:pt idx="0">
                        <c:v>2021</c:v>
                      </c:pt>
                      <c:pt idx="1">
                        <c:v>2022</c:v>
                      </c:pt>
                      <c:pt idx="2">
                        <c:v>2023</c:v>
                      </c:pt>
                      <c:pt idx="3">
                        <c:v>2024</c:v>
                      </c:pt>
                      <c:pt idx="4">
                        <c:v>2025</c:v>
                      </c:pt>
                    </c:numCache>
                  </c:numRef>
                </c:cat>
                <c:val>
                  <c:numRef>
                    <c:extLst>
                      <c:ext xmlns:c15="http://schemas.microsoft.com/office/drawing/2012/chart" uri="{02D57815-91ED-43cb-92C2-25804820EDAC}">
                        <c15:fullRef>
                          <c15:sqref>DuPont!$C$32:$H$32</c15:sqref>
                        </c15:fullRef>
                        <c15:formulaRef>
                          <c15:sqref>DuPont!$D$32:$H$32</c15:sqref>
                        </c15:formulaRef>
                      </c:ext>
                    </c:extLst>
                    <c:numCache>
                      <c:formatCode>0.00</c:formatCode>
                      <c:ptCount val="5"/>
                      <c:pt idx="0">
                        <c:v>7037</c:v>
                      </c:pt>
                      <c:pt idx="1">
                        <c:v>6256</c:v>
                      </c:pt>
                      <c:pt idx="2">
                        <c:v>4786.5</c:v>
                      </c:pt>
                      <c:pt idx="3">
                        <c:v>5028.5</c:v>
                      </c:pt>
                      <c:pt idx="4">
                        <c:v>5626</c:v>
                      </c:pt>
                    </c:numCache>
                  </c:numRef>
                </c:val>
                <c:extLst>
                  <c:ext xmlns:c16="http://schemas.microsoft.com/office/drawing/2014/chart" uri="{C3380CC4-5D6E-409C-BE32-E72D297353CC}">
                    <c16:uniqueId val="{00000013-3CB9-4544-84FF-1CF3348B1E4A}"/>
                  </c:ext>
                </c:extLst>
              </c15:ser>
            </c15:filteredBarSeries>
          </c:ext>
        </c:extLst>
      </c:barChart>
      <c:catAx>
        <c:axId val="234464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KZ"/>
          </a:p>
        </c:txPr>
        <c:crossAx val="234464863"/>
        <c:crosses val="autoZero"/>
        <c:auto val="1"/>
        <c:lblAlgn val="ctr"/>
        <c:lblOffset val="100"/>
        <c:noMultiLvlLbl val="0"/>
      </c:catAx>
      <c:valAx>
        <c:axId val="234464863"/>
        <c:scaling>
          <c:orientation val="minMax"/>
        </c:scaling>
        <c:delete val="1"/>
        <c:axPos val="l"/>
        <c:numFmt formatCode="General" sourceLinked="1"/>
        <c:majorTickMark val="none"/>
        <c:minorTickMark val="none"/>
        <c:tickLblPos val="nextTo"/>
        <c:crossAx val="2344643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KZ"/>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7985453345851612E-2"/>
          <c:y val="3.3316844459005263E-2"/>
          <c:w val="0.9386302014967729"/>
          <c:h val="0.92467323808026924"/>
        </c:manualLayout>
      </c:layout>
      <c:barChart>
        <c:barDir val="col"/>
        <c:grouping val="clustered"/>
        <c:varyColors val="0"/>
        <c:ser>
          <c:idx val="2"/>
          <c:order val="2"/>
          <c:tx>
            <c:strRef>
              <c:f>DuPont!$B$19</c:f>
              <c:strCache>
                <c:ptCount val="1"/>
                <c:pt idx="0">
                  <c:v>ROE</c:v>
                </c:pt>
              </c:strCache>
            </c:strRef>
          </c:tx>
          <c:spPr>
            <a:solidFill>
              <a:schemeClr val="accent6">
                <a:lumMod val="20000"/>
                <a:lumOff val="80000"/>
              </a:schemeClr>
            </a:solidFill>
            <a:ln>
              <a:solidFill>
                <a:schemeClr val="tx1">
                  <a:lumMod val="95000"/>
                  <a:lumOff val="5000"/>
                </a:schemeClr>
              </a:solidFill>
            </a:ln>
            <a:effectLst/>
          </c:spPr>
          <c:invertIfNegative val="0"/>
          <c:dPt>
            <c:idx val="0"/>
            <c:invertIfNegative val="0"/>
            <c:bubble3D val="0"/>
            <c:spPr>
              <a:solidFill>
                <a:schemeClr val="accent6">
                  <a:lumMod val="75000"/>
                </a:schemeClr>
              </a:solidFill>
              <a:ln>
                <a:solidFill>
                  <a:schemeClr val="tx1">
                    <a:lumMod val="95000"/>
                    <a:lumOff val="5000"/>
                  </a:schemeClr>
                </a:solidFill>
              </a:ln>
              <a:effectLst/>
            </c:spPr>
            <c:extLst>
              <c:ext xmlns:c16="http://schemas.microsoft.com/office/drawing/2014/chart" uri="{C3380CC4-5D6E-409C-BE32-E72D297353CC}">
                <c16:uniqueId val="{00000019-9A4A-49AF-A88A-46EAC5DFC551}"/>
              </c:ext>
            </c:extLst>
          </c:dPt>
          <c:dPt>
            <c:idx val="1"/>
            <c:invertIfNegative val="0"/>
            <c:bubble3D val="0"/>
            <c:spPr>
              <a:solidFill>
                <a:schemeClr val="accent6">
                  <a:lumMod val="40000"/>
                  <a:lumOff val="60000"/>
                </a:schemeClr>
              </a:solidFill>
              <a:ln>
                <a:solidFill>
                  <a:schemeClr val="tx1">
                    <a:lumMod val="95000"/>
                    <a:lumOff val="5000"/>
                  </a:schemeClr>
                </a:solidFill>
              </a:ln>
              <a:effectLst/>
            </c:spPr>
            <c:extLst>
              <c:ext xmlns:c16="http://schemas.microsoft.com/office/drawing/2014/chart" uri="{C3380CC4-5D6E-409C-BE32-E72D297353CC}">
                <c16:uniqueId val="{00000017-9A4A-49AF-A88A-46EAC5DFC551}"/>
              </c:ext>
            </c:extLst>
          </c:dPt>
          <c:dPt>
            <c:idx val="3"/>
            <c:invertIfNegative val="0"/>
            <c:bubble3D val="0"/>
            <c:spPr>
              <a:solidFill>
                <a:schemeClr val="accent6">
                  <a:lumMod val="60000"/>
                  <a:lumOff val="40000"/>
                </a:schemeClr>
              </a:solidFill>
              <a:ln>
                <a:solidFill>
                  <a:schemeClr val="tx1">
                    <a:lumMod val="95000"/>
                    <a:lumOff val="5000"/>
                  </a:schemeClr>
                </a:solidFill>
              </a:ln>
              <a:effectLst/>
            </c:spPr>
            <c:extLst>
              <c:ext xmlns:c16="http://schemas.microsoft.com/office/drawing/2014/chart" uri="{C3380CC4-5D6E-409C-BE32-E72D297353CC}">
                <c16:uniqueId val="{00000018-9A4A-49AF-A88A-46EAC5DFC551}"/>
              </c:ext>
            </c:extLst>
          </c:dPt>
          <c:dPt>
            <c:idx val="4"/>
            <c:invertIfNegative val="0"/>
            <c:bubble3D val="0"/>
            <c:spPr>
              <a:solidFill>
                <a:schemeClr val="accent6">
                  <a:lumMod val="50000"/>
                </a:schemeClr>
              </a:solidFill>
              <a:ln>
                <a:solidFill>
                  <a:schemeClr val="tx1">
                    <a:lumMod val="95000"/>
                    <a:lumOff val="5000"/>
                  </a:schemeClr>
                </a:solidFill>
              </a:ln>
              <a:effectLst/>
            </c:spPr>
            <c:extLst>
              <c:ext xmlns:c16="http://schemas.microsoft.com/office/drawing/2014/chart" uri="{C3380CC4-5D6E-409C-BE32-E72D297353CC}">
                <c16:uniqueId val="{0000001A-9A4A-49AF-A88A-46EAC5DFC55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KZ"/>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DuPont!$C$16:$H$16</c15:sqref>
                  </c15:fullRef>
                </c:ext>
              </c:extLst>
              <c:f>DuPont!$D$16:$H$16</c:f>
              <c:numCache>
                <c:formatCode>General</c:formatCode>
                <c:ptCount val="5"/>
                <c:pt idx="0">
                  <c:v>2021</c:v>
                </c:pt>
                <c:pt idx="1">
                  <c:v>2022</c:v>
                </c:pt>
                <c:pt idx="2">
                  <c:v>2023</c:v>
                </c:pt>
                <c:pt idx="3">
                  <c:v>2024</c:v>
                </c:pt>
                <c:pt idx="4">
                  <c:v>2025</c:v>
                </c:pt>
              </c:numCache>
            </c:numRef>
          </c:cat>
          <c:val>
            <c:numRef>
              <c:extLst>
                <c:ext xmlns:c15="http://schemas.microsoft.com/office/drawing/2012/chart" uri="{02D57815-91ED-43cb-92C2-25804820EDAC}">
                  <c15:fullRef>
                    <c15:sqref>DuPont!$C$19:$H$19</c15:sqref>
                  </c15:fullRef>
                </c:ext>
              </c:extLst>
              <c:f>DuPont!$D$19:$H$19</c:f>
              <c:numCache>
                <c:formatCode>0.00%</c:formatCode>
                <c:ptCount val="5"/>
                <c:pt idx="0">
                  <c:v>0.21202216853772915</c:v>
                </c:pt>
                <c:pt idx="1">
                  <c:v>4.0601023017902811E-2</c:v>
                </c:pt>
                <c:pt idx="2">
                  <c:v>-1.2117413558967931E-2</c:v>
                </c:pt>
                <c:pt idx="3">
                  <c:v>0.16386596400517053</c:v>
                </c:pt>
                <c:pt idx="4">
                  <c:v>0.2447564877355137</c:v>
                </c:pt>
              </c:numCache>
            </c:numRef>
          </c:val>
          <c:extLst>
            <c:ext xmlns:c16="http://schemas.microsoft.com/office/drawing/2014/chart" uri="{C3380CC4-5D6E-409C-BE32-E72D297353CC}">
              <c16:uniqueId val="{0000000F-9A4A-49AF-A88A-46EAC5DFC551}"/>
            </c:ext>
          </c:extLst>
        </c:ser>
        <c:dLbls>
          <c:showLegendKey val="0"/>
          <c:showVal val="0"/>
          <c:showCatName val="0"/>
          <c:showSerName val="0"/>
          <c:showPercent val="0"/>
          <c:showBubbleSize val="0"/>
        </c:dLbls>
        <c:gapWidth val="219"/>
        <c:overlap val="-27"/>
        <c:axId val="234464383"/>
        <c:axId val="234464863"/>
        <c:extLst>
          <c:ext xmlns:c15="http://schemas.microsoft.com/office/drawing/2012/chart" uri="{02D57815-91ED-43cb-92C2-25804820EDAC}">
            <c15:filteredBarSeries>
              <c15:ser>
                <c:idx val="0"/>
                <c:order val="0"/>
                <c:tx>
                  <c:strRef>
                    <c:extLst>
                      <c:ext uri="{02D57815-91ED-43cb-92C2-25804820EDAC}">
                        <c15:formulaRef>
                          <c15:sqref>DuPont!$B$17</c15:sqref>
                        </c15:formulaRef>
                      </c:ext>
                    </c:extLst>
                    <c:strCache>
                      <c:ptCount val="1"/>
                      <c:pt idx="0">
                        <c:v>Net Income</c:v>
                      </c:pt>
                    </c:strCache>
                  </c:strRef>
                </c:tx>
                <c:spPr>
                  <a:solidFill>
                    <a:schemeClr val="accent1"/>
                  </a:solidFill>
                  <a:ln>
                    <a:noFill/>
                  </a:ln>
                  <a:effectLst/>
                </c:spPr>
                <c:invertIfNegative val="0"/>
                <c:cat>
                  <c:numRef>
                    <c:extLst>
                      <c:ext uri="{02D57815-91ED-43cb-92C2-25804820EDAC}">
                        <c15:fullRef>
                          <c15:sqref>DuPont!$C$16:$H$16</c15:sqref>
                        </c15:fullRef>
                        <c15:formulaRef>
                          <c15:sqref>DuPont!$D$16:$H$16</c15:sqref>
                        </c15:formulaRef>
                      </c:ext>
                    </c:extLst>
                    <c:numCache>
                      <c:formatCode>General</c:formatCode>
                      <c:ptCount val="5"/>
                      <c:pt idx="0">
                        <c:v>2021</c:v>
                      </c:pt>
                      <c:pt idx="1">
                        <c:v>2022</c:v>
                      </c:pt>
                      <c:pt idx="2">
                        <c:v>2023</c:v>
                      </c:pt>
                      <c:pt idx="3">
                        <c:v>2024</c:v>
                      </c:pt>
                      <c:pt idx="4">
                        <c:v>2025</c:v>
                      </c:pt>
                    </c:numCache>
                  </c:numRef>
                </c:cat>
                <c:val>
                  <c:numRef>
                    <c:extLst>
                      <c:ext uri="{02D57815-91ED-43cb-92C2-25804820EDAC}">
                        <c15:fullRef>
                          <c15:sqref>DuPont!$C$17:$H$17</c15:sqref>
                        </c15:fullRef>
                        <c15:formulaRef>
                          <c15:sqref>DuPont!$D$17:$H$17</c15:sqref>
                        </c15:formulaRef>
                      </c:ext>
                    </c:extLst>
                    <c:numCache>
                      <c:formatCode>0.00</c:formatCode>
                      <c:ptCount val="5"/>
                      <c:pt idx="0">
                        <c:v>1492</c:v>
                      </c:pt>
                      <c:pt idx="1">
                        <c:v>254</c:v>
                      </c:pt>
                      <c:pt idx="2">
                        <c:v>-58</c:v>
                      </c:pt>
                      <c:pt idx="3">
                        <c:v>824</c:v>
                      </c:pt>
                      <c:pt idx="4">
                        <c:v>1377</c:v>
                      </c:pt>
                    </c:numCache>
                  </c:numRef>
                </c:val>
                <c:extLst>
                  <c:ext xmlns:c16="http://schemas.microsoft.com/office/drawing/2014/chart" uri="{C3380CC4-5D6E-409C-BE32-E72D297353CC}">
                    <c16:uniqueId val="{0000000B-9A4A-49AF-A88A-46EAC5DFC551}"/>
                  </c:ext>
                </c:extLst>
              </c15:ser>
            </c15:filteredBarSeries>
            <c15:filteredBarSeries>
              <c15:ser>
                <c:idx val="1"/>
                <c:order val="1"/>
                <c:tx>
                  <c:strRef>
                    <c:extLst>
                      <c:ext xmlns:c15="http://schemas.microsoft.com/office/drawing/2012/chart" uri="{02D57815-91ED-43cb-92C2-25804820EDAC}">
                        <c15:formulaRef>
                          <c15:sqref>DuPont!$B$18</c15:sqref>
                        </c15:formulaRef>
                      </c:ext>
                    </c:extLst>
                    <c:strCache>
                      <c:ptCount val="1"/>
                      <c:pt idx="0">
                        <c:v>Avg Shareholders Equity(not 2020)</c:v>
                      </c:pt>
                    </c:strCache>
                  </c:strRef>
                </c:tx>
                <c:spPr>
                  <a:solidFill>
                    <a:schemeClr val="accent2"/>
                  </a:solidFill>
                  <a:ln>
                    <a:noFill/>
                  </a:ln>
                  <a:effectLst/>
                </c:spPr>
                <c:invertIfNegative val="0"/>
                <c:dPt>
                  <c:idx val="4"/>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D-9A4A-49AF-A88A-46EAC5DFC551}"/>
                    </c:ext>
                  </c:extLst>
                </c:dPt>
                <c:cat>
                  <c:numRef>
                    <c:extLst>
                      <c:ext xmlns:c15="http://schemas.microsoft.com/office/drawing/2012/chart" uri="{02D57815-91ED-43cb-92C2-25804820EDAC}">
                        <c15:fullRef>
                          <c15:sqref>DuPont!$C$16:$H$16</c15:sqref>
                        </c15:fullRef>
                        <c15:formulaRef>
                          <c15:sqref>DuPont!$D$16:$H$16</c15:sqref>
                        </c15:formulaRef>
                      </c:ext>
                    </c:extLst>
                    <c:numCache>
                      <c:formatCode>General</c:formatCode>
                      <c:ptCount val="5"/>
                      <c:pt idx="0">
                        <c:v>2021</c:v>
                      </c:pt>
                      <c:pt idx="1">
                        <c:v>2022</c:v>
                      </c:pt>
                      <c:pt idx="2">
                        <c:v>2023</c:v>
                      </c:pt>
                      <c:pt idx="3">
                        <c:v>2024</c:v>
                      </c:pt>
                      <c:pt idx="4">
                        <c:v>2025</c:v>
                      </c:pt>
                    </c:numCache>
                  </c:numRef>
                </c:cat>
                <c:val>
                  <c:numRef>
                    <c:extLst>
                      <c:ext xmlns:c15="http://schemas.microsoft.com/office/drawing/2012/chart" uri="{02D57815-91ED-43cb-92C2-25804820EDAC}">
                        <c15:fullRef>
                          <c15:sqref>DuPont!$C$18:$H$18</c15:sqref>
                        </c15:fullRef>
                        <c15:formulaRef>
                          <c15:sqref>DuPont!$D$18:$H$18</c15:sqref>
                        </c15:formulaRef>
                      </c:ext>
                    </c:extLst>
                    <c:numCache>
                      <c:formatCode>0.00</c:formatCode>
                      <c:ptCount val="5"/>
                      <c:pt idx="0">
                        <c:v>7037</c:v>
                      </c:pt>
                      <c:pt idx="1">
                        <c:v>6256</c:v>
                      </c:pt>
                      <c:pt idx="2">
                        <c:v>4786.5</c:v>
                      </c:pt>
                      <c:pt idx="3">
                        <c:v>5028.5</c:v>
                      </c:pt>
                      <c:pt idx="4">
                        <c:v>5626</c:v>
                      </c:pt>
                    </c:numCache>
                  </c:numRef>
                </c:val>
                <c:extLst>
                  <c:ext xmlns:c16="http://schemas.microsoft.com/office/drawing/2014/chart" uri="{C3380CC4-5D6E-409C-BE32-E72D297353CC}">
                    <c16:uniqueId val="{0000000E-9A4A-49AF-A88A-46EAC5DFC551}"/>
                  </c:ext>
                </c:extLst>
              </c15:ser>
            </c15:filteredBarSeries>
          </c:ext>
        </c:extLst>
      </c:barChart>
      <c:catAx>
        <c:axId val="234464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KZ"/>
          </a:p>
        </c:txPr>
        <c:crossAx val="234464863"/>
        <c:crosses val="autoZero"/>
        <c:auto val="1"/>
        <c:lblAlgn val="ctr"/>
        <c:lblOffset val="100"/>
        <c:noMultiLvlLbl val="0"/>
      </c:catAx>
      <c:valAx>
        <c:axId val="234464863"/>
        <c:scaling>
          <c:orientation val="minMax"/>
        </c:scaling>
        <c:delete val="1"/>
        <c:axPos val="l"/>
        <c:numFmt formatCode="General" sourceLinked="1"/>
        <c:majorTickMark val="none"/>
        <c:minorTickMark val="none"/>
        <c:tickLblPos val="nextTo"/>
        <c:crossAx val="2344643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KZ"/>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7985453345851612E-2"/>
          <c:y val="3.3316844459005263E-2"/>
          <c:w val="0.9386302014967729"/>
          <c:h val="0.92467323808026924"/>
        </c:manualLayout>
      </c:layout>
      <c:barChart>
        <c:barDir val="col"/>
        <c:grouping val="clustered"/>
        <c:varyColors val="0"/>
        <c:ser>
          <c:idx val="2"/>
          <c:order val="2"/>
          <c:tx>
            <c:strRef>
              <c:f>DuPont!$B$41</c:f>
              <c:strCache>
                <c:ptCount val="1"/>
                <c:pt idx="0">
                  <c:v>ROA</c:v>
                </c:pt>
              </c:strCache>
            </c:strRef>
          </c:tx>
          <c:spPr>
            <a:solidFill>
              <a:schemeClr val="accent6">
                <a:lumMod val="20000"/>
                <a:lumOff val="80000"/>
              </a:schemeClr>
            </a:solidFill>
            <a:ln>
              <a:solidFill>
                <a:schemeClr val="tx1">
                  <a:lumMod val="95000"/>
                  <a:lumOff val="5000"/>
                </a:schemeClr>
              </a:solidFill>
            </a:ln>
            <a:effectLst/>
          </c:spPr>
          <c:invertIfNegative val="0"/>
          <c:dPt>
            <c:idx val="0"/>
            <c:invertIfNegative val="0"/>
            <c:bubble3D val="0"/>
            <c:spPr>
              <a:solidFill>
                <a:schemeClr val="accent6">
                  <a:lumMod val="50000"/>
                </a:schemeClr>
              </a:solidFill>
              <a:ln>
                <a:solidFill>
                  <a:schemeClr val="tx1">
                    <a:lumMod val="95000"/>
                    <a:lumOff val="5000"/>
                  </a:schemeClr>
                </a:solidFill>
              </a:ln>
              <a:effectLst/>
            </c:spPr>
            <c:extLst>
              <c:ext xmlns:c16="http://schemas.microsoft.com/office/drawing/2014/chart" uri="{C3380CC4-5D6E-409C-BE32-E72D297353CC}">
                <c16:uniqueId val="{00000001-70F9-4230-8DA0-0FDF7B86B4B0}"/>
              </c:ext>
            </c:extLst>
          </c:dPt>
          <c:dPt>
            <c:idx val="1"/>
            <c:invertIfNegative val="0"/>
            <c:bubble3D val="0"/>
            <c:spPr>
              <a:solidFill>
                <a:schemeClr val="accent6">
                  <a:lumMod val="40000"/>
                  <a:lumOff val="60000"/>
                </a:schemeClr>
              </a:solidFill>
              <a:ln>
                <a:solidFill>
                  <a:schemeClr val="tx1">
                    <a:lumMod val="95000"/>
                    <a:lumOff val="5000"/>
                  </a:schemeClr>
                </a:solidFill>
              </a:ln>
              <a:effectLst/>
            </c:spPr>
            <c:extLst>
              <c:ext xmlns:c16="http://schemas.microsoft.com/office/drawing/2014/chart" uri="{C3380CC4-5D6E-409C-BE32-E72D297353CC}">
                <c16:uniqueId val="{00000003-70F9-4230-8DA0-0FDF7B86B4B0}"/>
              </c:ext>
            </c:extLst>
          </c:dPt>
          <c:dPt>
            <c:idx val="3"/>
            <c:invertIfNegative val="0"/>
            <c:bubble3D val="0"/>
            <c:spPr>
              <a:solidFill>
                <a:schemeClr val="accent6">
                  <a:lumMod val="60000"/>
                  <a:lumOff val="40000"/>
                </a:schemeClr>
              </a:solidFill>
              <a:ln>
                <a:solidFill>
                  <a:schemeClr val="tx1">
                    <a:lumMod val="95000"/>
                    <a:lumOff val="5000"/>
                  </a:schemeClr>
                </a:solidFill>
              </a:ln>
              <a:effectLst/>
            </c:spPr>
            <c:extLst>
              <c:ext xmlns:c16="http://schemas.microsoft.com/office/drawing/2014/chart" uri="{C3380CC4-5D6E-409C-BE32-E72D297353CC}">
                <c16:uniqueId val="{00000005-70F9-4230-8DA0-0FDF7B86B4B0}"/>
              </c:ext>
            </c:extLst>
          </c:dPt>
          <c:dPt>
            <c:idx val="4"/>
            <c:invertIfNegative val="0"/>
            <c:bubble3D val="0"/>
            <c:spPr>
              <a:solidFill>
                <a:schemeClr val="accent6">
                  <a:lumMod val="75000"/>
                </a:schemeClr>
              </a:solidFill>
              <a:ln>
                <a:solidFill>
                  <a:schemeClr val="tx1">
                    <a:lumMod val="95000"/>
                    <a:lumOff val="5000"/>
                  </a:schemeClr>
                </a:solidFill>
              </a:ln>
              <a:effectLst/>
            </c:spPr>
            <c:extLst>
              <c:ext xmlns:c16="http://schemas.microsoft.com/office/drawing/2014/chart" uri="{C3380CC4-5D6E-409C-BE32-E72D297353CC}">
                <c16:uniqueId val="{00000007-70F9-4230-8DA0-0FDF7B86B4B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KZ"/>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DuPont!$C$38:$H$38</c15:sqref>
                  </c15:fullRef>
                </c:ext>
              </c:extLst>
              <c:f>DuPont!$D$38:$H$38</c:f>
              <c:numCache>
                <c:formatCode>General</c:formatCode>
                <c:ptCount val="5"/>
                <c:pt idx="0">
                  <c:v>2021</c:v>
                </c:pt>
                <c:pt idx="1">
                  <c:v>2022</c:v>
                </c:pt>
                <c:pt idx="2">
                  <c:v>2023</c:v>
                </c:pt>
                <c:pt idx="3">
                  <c:v>2024</c:v>
                </c:pt>
                <c:pt idx="4">
                  <c:v>2025</c:v>
                </c:pt>
              </c:numCache>
            </c:numRef>
          </c:cat>
          <c:val>
            <c:numRef>
              <c:extLst>
                <c:ext xmlns:c15="http://schemas.microsoft.com/office/drawing/2012/chart" uri="{02D57815-91ED-43cb-92C2-25804820EDAC}">
                  <c15:fullRef>
                    <c15:sqref>DuPont!$C$41:$H$41</c15:sqref>
                  </c15:fullRef>
                </c:ext>
              </c:extLst>
              <c:f>DuPont!$D$41:$H$41</c:f>
              <c:numCache>
                <c:formatCode>0.00%</c:formatCode>
                <c:ptCount val="5"/>
                <c:pt idx="0">
                  <c:v>6.909006714517249E-2</c:v>
                </c:pt>
                <c:pt idx="1">
                  <c:v>1.1971814389743832E-2</c:v>
                </c:pt>
                <c:pt idx="2">
                  <c:v>-3.0274558930994885E-3</c:v>
                </c:pt>
                <c:pt idx="3">
                  <c:v>4.2611506140917903E-2</c:v>
                </c:pt>
                <c:pt idx="4">
                  <c:v>6.7306987315785619E-2</c:v>
                </c:pt>
              </c:numCache>
            </c:numRef>
          </c:val>
          <c:extLst>
            <c:ext xmlns:c16="http://schemas.microsoft.com/office/drawing/2014/chart" uri="{C3380CC4-5D6E-409C-BE32-E72D297353CC}">
              <c16:uniqueId val="{00000008-70F9-4230-8DA0-0FDF7B86B4B0}"/>
            </c:ext>
          </c:extLst>
        </c:ser>
        <c:dLbls>
          <c:showLegendKey val="0"/>
          <c:showVal val="0"/>
          <c:showCatName val="0"/>
          <c:showSerName val="0"/>
          <c:showPercent val="0"/>
          <c:showBubbleSize val="0"/>
        </c:dLbls>
        <c:gapWidth val="219"/>
        <c:overlap val="-27"/>
        <c:axId val="234464383"/>
        <c:axId val="234464863"/>
        <c:extLst>
          <c:ext xmlns:c15="http://schemas.microsoft.com/office/drawing/2012/chart" uri="{02D57815-91ED-43cb-92C2-25804820EDAC}">
            <c15:filteredBarSeries>
              <c15:ser>
                <c:idx val="0"/>
                <c:order val="0"/>
                <c:tx>
                  <c:strRef>
                    <c:extLst>
                      <c:ext uri="{02D57815-91ED-43cb-92C2-25804820EDAC}">
                        <c15:formulaRef>
                          <c15:sqref>DuPont!$B$39</c15:sqref>
                        </c15:formulaRef>
                      </c:ext>
                    </c:extLst>
                    <c:strCache>
                      <c:ptCount val="1"/>
                      <c:pt idx="0">
                        <c:v>Net Income</c:v>
                      </c:pt>
                    </c:strCache>
                  </c:strRef>
                </c:tx>
                <c:spPr>
                  <a:solidFill>
                    <a:schemeClr val="accent1"/>
                  </a:solidFill>
                  <a:ln>
                    <a:noFill/>
                  </a:ln>
                  <a:effectLst/>
                </c:spPr>
                <c:invertIfNegative val="0"/>
                <c:cat>
                  <c:numRef>
                    <c:extLst>
                      <c:ext uri="{02D57815-91ED-43cb-92C2-25804820EDAC}">
                        <c15:fullRef>
                          <c15:sqref>DuPont!$C$38:$H$38</c15:sqref>
                        </c15:fullRef>
                        <c15:formulaRef>
                          <c15:sqref>DuPont!$D$38:$H$38</c15:sqref>
                        </c15:formulaRef>
                      </c:ext>
                    </c:extLst>
                    <c:numCache>
                      <c:formatCode>General</c:formatCode>
                      <c:ptCount val="5"/>
                      <c:pt idx="0">
                        <c:v>2021</c:v>
                      </c:pt>
                      <c:pt idx="1">
                        <c:v>2022</c:v>
                      </c:pt>
                      <c:pt idx="2">
                        <c:v>2023</c:v>
                      </c:pt>
                      <c:pt idx="3">
                        <c:v>2024</c:v>
                      </c:pt>
                      <c:pt idx="4">
                        <c:v>2025</c:v>
                      </c:pt>
                    </c:numCache>
                  </c:numRef>
                </c:cat>
                <c:val>
                  <c:numRef>
                    <c:extLst>
                      <c:ext uri="{02D57815-91ED-43cb-92C2-25804820EDAC}">
                        <c15:fullRef>
                          <c15:sqref>DuPont!$C$39:$H$39</c15:sqref>
                        </c15:fullRef>
                        <c15:formulaRef>
                          <c15:sqref>DuPont!$D$39:$H$39</c15:sqref>
                        </c15:formulaRef>
                      </c:ext>
                    </c:extLst>
                    <c:numCache>
                      <c:formatCode>0.00</c:formatCode>
                      <c:ptCount val="5"/>
                      <c:pt idx="0">
                        <c:v>1492</c:v>
                      </c:pt>
                      <c:pt idx="1">
                        <c:v>254</c:v>
                      </c:pt>
                      <c:pt idx="2">
                        <c:v>-58</c:v>
                      </c:pt>
                      <c:pt idx="3">
                        <c:v>824</c:v>
                      </c:pt>
                      <c:pt idx="4">
                        <c:v>1377</c:v>
                      </c:pt>
                    </c:numCache>
                  </c:numRef>
                </c:val>
                <c:extLst>
                  <c:ext xmlns:c16="http://schemas.microsoft.com/office/drawing/2014/chart" uri="{C3380CC4-5D6E-409C-BE32-E72D297353CC}">
                    <c16:uniqueId val="{00000009-70F9-4230-8DA0-0FDF7B86B4B0}"/>
                  </c:ext>
                </c:extLst>
              </c15:ser>
            </c15:filteredBarSeries>
            <c15:filteredBarSeries>
              <c15:ser>
                <c:idx val="1"/>
                <c:order val="1"/>
                <c:tx>
                  <c:strRef>
                    <c:extLst>
                      <c:ext xmlns:c15="http://schemas.microsoft.com/office/drawing/2012/chart" uri="{02D57815-91ED-43cb-92C2-25804820EDAC}">
                        <c15:formulaRef>
                          <c15:sqref>DuPont!$B$40</c15:sqref>
                        </c15:formulaRef>
                      </c:ext>
                    </c:extLst>
                    <c:strCache>
                      <c:ptCount val="1"/>
                      <c:pt idx="0">
                        <c:v>Avg Total Assets(not 2020)</c:v>
                      </c:pt>
                    </c:strCache>
                  </c:strRef>
                </c:tx>
                <c:spPr>
                  <a:solidFill>
                    <a:schemeClr val="accent2"/>
                  </a:solidFill>
                  <a:ln>
                    <a:noFill/>
                  </a:ln>
                  <a:effectLst/>
                </c:spPr>
                <c:invertIfNegative val="0"/>
                <c:dPt>
                  <c:idx val="4"/>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B-70F9-4230-8DA0-0FDF7B86B4B0}"/>
                    </c:ext>
                  </c:extLst>
                </c:dPt>
                <c:cat>
                  <c:numRef>
                    <c:extLst>
                      <c:ext xmlns:c15="http://schemas.microsoft.com/office/drawing/2012/chart" uri="{02D57815-91ED-43cb-92C2-25804820EDAC}">
                        <c15:fullRef>
                          <c15:sqref>DuPont!$C$38:$H$38</c15:sqref>
                        </c15:fullRef>
                        <c15:formulaRef>
                          <c15:sqref>DuPont!$D$38:$H$38</c15:sqref>
                        </c15:formulaRef>
                      </c:ext>
                    </c:extLst>
                    <c:numCache>
                      <c:formatCode>General</c:formatCode>
                      <c:ptCount val="5"/>
                      <c:pt idx="0">
                        <c:v>2021</c:v>
                      </c:pt>
                      <c:pt idx="1">
                        <c:v>2022</c:v>
                      </c:pt>
                      <c:pt idx="2">
                        <c:v>2023</c:v>
                      </c:pt>
                      <c:pt idx="3">
                        <c:v>2024</c:v>
                      </c:pt>
                      <c:pt idx="4">
                        <c:v>2025</c:v>
                      </c:pt>
                    </c:numCache>
                  </c:numRef>
                </c:cat>
                <c:val>
                  <c:numRef>
                    <c:extLst>
                      <c:ext xmlns:c15="http://schemas.microsoft.com/office/drawing/2012/chart" uri="{02D57815-91ED-43cb-92C2-25804820EDAC}">
                        <c15:fullRef>
                          <c15:sqref>DuPont!$C$40:$H$40</c15:sqref>
                        </c15:fullRef>
                        <c15:formulaRef>
                          <c15:sqref>DuPont!$D$40:$H$40</c15:sqref>
                        </c15:formulaRef>
                      </c:ext>
                    </c:extLst>
                    <c:numCache>
                      <c:formatCode>0.00</c:formatCode>
                      <c:ptCount val="5"/>
                      <c:pt idx="0">
                        <c:v>21595</c:v>
                      </c:pt>
                      <c:pt idx="1">
                        <c:v>21216.5</c:v>
                      </c:pt>
                      <c:pt idx="2">
                        <c:v>19158</c:v>
                      </c:pt>
                      <c:pt idx="3">
                        <c:v>19337.5</c:v>
                      </c:pt>
                      <c:pt idx="4">
                        <c:v>20458.5</c:v>
                      </c:pt>
                    </c:numCache>
                  </c:numRef>
                </c:val>
                <c:extLst>
                  <c:ext xmlns:c16="http://schemas.microsoft.com/office/drawing/2014/chart" uri="{C3380CC4-5D6E-409C-BE32-E72D297353CC}">
                    <c16:uniqueId val="{0000000C-70F9-4230-8DA0-0FDF7B86B4B0}"/>
                  </c:ext>
                </c:extLst>
              </c15:ser>
            </c15:filteredBarSeries>
          </c:ext>
        </c:extLst>
      </c:barChart>
      <c:catAx>
        <c:axId val="234464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KZ"/>
          </a:p>
        </c:txPr>
        <c:crossAx val="234464863"/>
        <c:crosses val="autoZero"/>
        <c:auto val="1"/>
        <c:lblAlgn val="ctr"/>
        <c:lblOffset val="100"/>
        <c:noMultiLvlLbl val="0"/>
      </c:catAx>
      <c:valAx>
        <c:axId val="234464863"/>
        <c:scaling>
          <c:orientation val="minMax"/>
        </c:scaling>
        <c:delete val="1"/>
        <c:axPos val="l"/>
        <c:numFmt formatCode="General" sourceLinked="1"/>
        <c:majorTickMark val="none"/>
        <c:minorTickMark val="none"/>
        <c:tickLblPos val="nextTo"/>
        <c:crossAx val="2344643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KZ"/>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jpe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69080</xdr:colOff>
      <xdr:row>0</xdr:row>
      <xdr:rowOff>0</xdr:rowOff>
    </xdr:from>
    <xdr:to>
      <xdr:col>1</xdr:col>
      <xdr:colOff>1448467</xdr:colOff>
      <xdr:row>5</xdr:row>
      <xdr:rowOff>12489</xdr:rowOff>
    </xdr:to>
    <xdr:pic>
      <xdr:nvPicPr>
        <xdr:cNvPr id="6" name="Рисунок 5" descr="New adidas Performance logo">
          <a:extLst>
            <a:ext uri="{FF2B5EF4-FFF2-40B4-BE49-F238E27FC236}">
              <a16:creationId xmlns:a16="http://schemas.microsoft.com/office/drawing/2014/main" id="{C1EE79A6-9D55-4ACC-9FFE-18CAD530DF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080" y="0"/>
          <a:ext cx="1462818" cy="9302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69080</xdr:colOff>
      <xdr:row>0</xdr:row>
      <xdr:rowOff>0</xdr:rowOff>
    </xdr:from>
    <xdr:to>
      <xdr:col>1</xdr:col>
      <xdr:colOff>1212247</xdr:colOff>
      <xdr:row>4</xdr:row>
      <xdr:rowOff>103929</xdr:rowOff>
    </xdr:to>
    <xdr:pic>
      <xdr:nvPicPr>
        <xdr:cNvPr id="2" name="Рисунок 1" descr="New adidas Performance logo">
          <a:extLst>
            <a:ext uri="{FF2B5EF4-FFF2-40B4-BE49-F238E27FC236}">
              <a16:creationId xmlns:a16="http://schemas.microsoft.com/office/drawing/2014/main" id="{D77A4BDD-CA79-4A63-83DA-3E69F23562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080" y="0"/>
          <a:ext cx="1463207" cy="9268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69080</xdr:colOff>
      <xdr:row>0</xdr:row>
      <xdr:rowOff>0</xdr:rowOff>
    </xdr:from>
    <xdr:to>
      <xdr:col>1</xdr:col>
      <xdr:colOff>1432560</xdr:colOff>
      <xdr:row>5</xdr:row>
      <xdr:rowOff>12489</xdr:rowOff>
    </xdr:to>
    <xdr:pic>
      <xdr:nvPicPr>
        <xdr:cNvPr id="3" name="Рисунок 2" descr="New adidas Performance logo">
          <a:extLst>
            <a:ext uri="{FF2B5EF4-FFF2-40B4-BE49-F238E27FC236}">
              <a16:creationId xmlns:a16="http://schemas.microsoft.com/office/drawing/2014/main" id="{3E0469AE-7DD8-427D-BAD2-9964AFE26A6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080" y="0"/>
          <a:ext cx="1683520" cy="10183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285285</xdr:colOff>
      <xdr:row>7</xdr:row>
      <xdr:rowOff>675827</xdr:rowOff>
    </xdr:from>
    <xdr:to>
      <xdr:col>14</xdr:col>
      <xdr:colOff>245807</xdr:colOff>
      <xdr:row>23</xdr:row>
      <xdr:rowOff>60524</xdr:rowOff>
    </xdr:to>
    <xdr:graphicFrame macro="">
      <xdr:nvGraphicFramePr>
        <xdr:cNvPr id="5" name="Диаграмма 4">
          <a:extLst>
            <a:ext uri="{FF2B5EF4-FFF2-40B4-BE49-F238E27FC236}">
              <a16:creationId xmlns:a16="http://schemas.microsoft.com/office/drawing/2014/main" id="{6CA3D07C-6D2B-6F42-4498-90DC56E47B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1532195</xdr:colOff>
      <xdr:row>7</xdr:row>
      <xdr:rowOff>204838</xdr:rowOff>
    </xdr:from>
    <xdr:to>
      <xdr:col>12</xdr:col>
      <xdr:colOff>131096</xdr:colOff>
      <xdr:row>7</xdr:row>
      <xdr:rowOff>536677</xdr:rowOff>
    </xdr:to>
    <xdr:sp macro="" textlink="">
      <xdr:nvSpPr>
        <xdr:cNvPr id="6" name="TextBox 5">
          <a:extLst>
            <a:ext uri="{FF2B5EF4-FFF2-40B4-BE49-F238E27FC236}">
              <a16:creationId xmlns:a16="http://schemas.microsoft.com/office/drawing/2014/main" id="{68176670-F83A-E124-8E43-DFA589D6EDEA}"/>
            </a:ext>
          </a:extLst>
        </xdr:cNvPr>
        <xdr:cNvSpPr txBox="1"/>
      </xdr:nvSpPr>
      <xdr:spPr>
        <a:xfrm>
          <a:off x="8160776" y="1663290"/>
          <a:ext cx="1376514" cy="33183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accent3">
                  <a:lumMod val="75000"/>
                </a:schemeClr>
              </a:solidFill>
            </a:rPr>
            <a:t>Net Income</a:t>
          </a:r>
          <a:endParaRPr lang="ru-KZ" sz="1800" b="1">
            <a:solidFill>
              <a:schemeClr val="accent3">
                <a:lumMod val="75000"/>
              </a:schemeClr>
            </a:solidFill>
          </a:endParaRPr>
        </a:p>
      </xdr:txBody>
    </xdr:sp>
    <xdr:clientData/>
  </xdr:twoCellAnchor>
  <xdr:twoCellAnchor>
    <xdr:from>
      <xdr:col>15</xdr:col>
      <xdr:colOff>93462</xdr:colOff>
      <xdr:row>7</xdr:row>
      <xdr:rowOff>663677</xdr:rowOff>
    </xdr:from>
    <xdr:to>
      <xdr:col>21</xdr:col>
      <xdr:colOff>490780</xdr:colOff>
      <xdr:row>23</xdr:row>
      <xdr:rowOff>49162</xdr:rowOff>
    </xdr:to>
    <xdr:graphicFrame macro="">
      <xdr:nvGraphicFramePr>
        <xdr:cNvPr id="7" name="Диаграмма 6">
          <a:extLst>
            <a:ext uri="{FF2B5EF4-FFF2-40B4-BE49-F238E27FC236}">
              <a16:creationId xmlns:a16="http://schemas.microsoft.com/office/drawing/2014/main" id="{D8B2DECC-8D88-4575-B884-D7B944D6D4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397316</xdr:colOff>
      <xdr:row>7</xdr:row>
      <xdr:rowOff>221225</xdr:rowOff>
    </xdr:from>
    <xdr:to>
      <xdr:col>19</xdr:col>
      <xdr:colOff>200671</xdr:colOff>
      <xdr:row>7</xdr:row>
      <xdr:rowOff>553064</xdr:rowOff>
    </xdr:to>
    <xdr:sp macro="" textlink="">
      <xdr:nvSpPr>
        <xdr:cNvPr id="9" name="TextBox 8">
          <a:extLst>
            <a:ext uri="{FF2B5EF4-FFF2-40B4-BE49-F238E27FC236}">
              <a16:creationId xmlns:a16="http://schemas.microsoft.com/office/drawing/2014/main" id="{79CD87CF-6E50-4811-A447-7BB79CF9CBC7}"/>
            </a:ext>
          </a:extLst>
        </xdr:cNvPr>
        <xdr:cNvSpPr txBox="1"/>
      </xdr:nvSpPr>
      <xdr:spPr>
        <a:xfrm>
          <a:off x="12847621" y="1693564"/>
          <a:ext cx="1017389" cy="33183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accent3">
                  <a:lumMod val="75000"/>
                </a:schemeClr>
              </a:solidFill>
            </a:rPr>
            <a:t>Revenue</a:t>
          </a:r>
          <a:endParaRPr lang="ru-KZ" sz="1800" b="1">
            <a:solidFill>
              <a:schemeClr val="accent3">
                <a:lumMod val="75000"/>
              </a:schemeClr>
            </a:solidFill>
          </a:endParaRPr>
        </a:p>
      </xdr:txBody>
    </xdr:sp>
    <xdr:clientData/>
  </xdr:twoCellAnchor>
  <xdr:twoCellAnchor>
    <xdr:from>
      <xdr:col>22</xdr:col>
      <xdr:colOff>354567</xdr:colOff>
      <xdr:row>7</xdr:row>
      <xdr:rowOff>670559</xdr:rowOff>
    </xdr:from>
    <xdr:to>
      <xdr:col>29</xdr:col>
      <xdr:colOff>142285</xdr:colOff>
      <xdr:row>23</xdr:row>
      <xdr:rowOff>62588</xdr:rowOff>
    </xdr:to>
    <xdr:graphicFrame macro="">
      <xdr:nvGraphicFramePr>
        <xdr:cNvPr id="10" name="Диаграмма 9">
          <a:extLst>
            <a:ext uri="{FF2B5EF4-FFF2-40B4-BE49-F238E27FC236}">
              <a16:creationId xmlns:a16="http://schemas.microsoft.com/office/drawing/2014/main" id="{E0EBD510-6865-4356-8802-F5FB463334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325120</xdr:colOff>
      <xdr:row>7</xdr:row>
      <xdr:rowOff>243840</xdr:rowOff>
    </xdr:from>
    <xdr:to>
      <xdr:col>27</xdr:col>
      <xdr:colOff>203200</xdr:colOff>
      <xdr:row>7</xdr:row>
      <xdr:rowOff>575679</xdr:rowOff>
    </xdr:to>
    <xdr:sp macro="" textlink="">
      <xdr:nvSpPr>
        <xdr:cNvPr id="11" name="TextBox 10">
          <a:extLst>
            <a:ext uri="{FF2B5EF4-FFF2-40B4-BE49-F238E27FC236}">
              <a16:creationId xmlns:a16="http://schemas.microsoft.com/office/drawing/2014/main" id="{D1699884-DAFB-4ED4-99EA-99777FD4189A}"/>
            </a:ext>
          </a:extLst>
        </xdr:cNvPr>
        <xdr:cNvSpPr txBox="1"/>
      </xdr:nvSpPr>
      <xdr:spPr>
        <a:xfrm>
          <a:off x="17078960" y="1717040"/>
          <a:ext cx="1706880" cy="33183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accent3">
                  <a:lumMod val="75000"/>
                </a:schemeClr>
              </a:solidFill>
            </a:rPr>
            <a:t>Avg</a:t>
          </a:r>
          <a:r>
            <a:rPr lang="en-US" sz="1800" b="1" baseline="0">
              <a:solidFill>
                <a:schemeClr val="accent3">
                  <a:lumMod val="75000"/>
                </a:schemeClr>
              </a:solidFill>
            </a:rPr>
            <a:t> Total Assets</a:t>
          </a:r>
          <a:endParaRPr lang="ru-KZ" sz="1800" b="1">
            <a:solidFill>
              <a:schemeClr val="accent3">
                <a:lumMod val="75000"/>
              </a:schemeClr>
            </a:solidFill>
          </a:endParaRPr>
        </a:p>
      </xdr:txBody>
    </xdr:sp>
    <xdr:clientData/>
  </xdr:twoCellAnchor>
  <xdr:twoCellAnchor>
    <xdr:from>
      <xdr:col>9</xdr:col>
      <xdr:colOff>1249680</xdr:colOff>
      <xdr:row>24</xdr:row>
      <xdr:rowOff>162560</xdr:rowOff>
    </xdr:from>
    <xdr:to>
      <xdr:col>12</xdr:col>
      <xdr:colOff>528320</xdr:colOff>
      <xdr:row>26</xdr:row>
      <xdr:rowOff>128639</xdr:rowOff>
    </xdr:to>
    <xdr:sp macro="" textlink="">
      <xdr:nvSpPr>
        <xdr:cNvPr id="12" name="TextBox 11">
          <a:extLst>
            <a:ext uri="{FF2B5EF4-FFF2-40B4-BE49-F238E27FC236}">
              <a16:creationId xmlns:a16="http://schemas.microsoft.com/office/drawing/2014/main" id="{10FE8B82-D4FE-402C-BECA-F018963DF332}"/>
            </a:ext>
          </a:extLst>
        </xdr:cNvPr>
        <xdr:cNvSpPr txBox="1"/>
      </xdr:nvSpPr>
      <xdr:spPr>
        <a:xfrm>
          <a:off x="7904480" y="5232400"/>
          <a:ext cx="2062480" cy="33183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accent3">
                  <a:lumMod val="75000"/>
                </a:schemeClr>
              </a:solidFill>
            </a:rPr>
            <a:t>Financial</a:t>
          </a:r>
          <a:r>
            <a:rPr lang="en-US" sz="1800" b="1" baseline="0">
              <a:solidFill>
                <a:schemeClr val="accent3">
                  <a:lumMod val="75000"/>
                </a:schemeClr>
              </a:solidFill>
            </a:rPr>
            <a:t> Leverage</a:t>
          </a:r>
          <a:endParaRPr lang="ru-KZ" sz="1800" b="1">
            <a:solidFill>
              <a:schemeClr val="accent3">
                <a:lumMod val="75000"/>
              </a:schemeClr>
            </a:solidFill>
          </a:endParaRPr>
        </a:p>
      </xdr:txBody>
    </xdr:sp>
    <xdr:clientData/>
  </xdr:twoCellAnchor>
  <xdr:twoCellAnchor>
    <xdr:from>
      <xdr:col>9</xdr:col>
      <xdr:colOff>294640</xdr:colOff>
      <xdr:row>27</xdr:row>
      <xdr:rowOff>91440</xdr:rowOff>
    </xdr:from>
    <xdr:to>
      <xdr:col>14</xdr:col>
      <xdr:colOff>346518</xdr:colOff>
      <xdr:row>42</xdr:row>
      <xdr:rowOff>103229</xdr:rowOff>
    </xdr:to>
    <xdr:graphicFrame macro="">
      <xdr:nvGraphicFramePr>
        <xdr:cNvPr id="13" name="Диаграмма 12">
          <a:extLst>
            <a:ext uri="{FF2B5EF4-FFF2-40B4-BE49-F238E27FC236}">
              <a16:creationId xmlns:a16="http://schemas.microsoft.com/office/drawing/2014/main" id="{300A0AC9-BE6C-4F57-A4A6-705971D553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132080</xdr:colOff>
      <xdr:row>27</xdr:row>
      <xdr:rowOff>91440</xdr:rowOff>
    </xdr:from>
    <xdr:to>
      <xdr:col>21</xdr:col>
      <xdr:colOff>529398</xdr:colOff>
      <xdr:row>42</xdr:row>
      <xdr:rowOff>103229</xdr:rowOff>
    </xdr:to>
    <xdr:graphicFrame macro="">
      <xdr:nvGraphicFramePr>
        <xdr:cNvPr id="14" name="Диаграмма 13">
          <a:extLst>
            <a:ext uri="{FF2B5EF4-FFF2-40B4-BE49-F238E27FC236}">
              <a16:creationId xmlns:a16="http://schemas.microsoft.com/office/drawing/2014/main" id="{9AD39E76-1201-4EB2-BA72-818C487E1C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558800</xdr:colOff>
      <xdr:row>25</xdr:row>
      <xdr:rowOff>10160</xdr:rowOff>
    </xdr:from>
    <xdr:to>
      <xdr:col>18</xdr:col>
      <xdr:colOff>579120</xdr:colOff>
      <xdr:row>26</xdr:row>
      <xdr:rowOff>159119</xdr:rowOff>
    </xdr:to>
    <xdr:sp macro="" textlink="">
      <xdr:nvSpPr>
        <xdr:cNvPr id="16" name="TextBox 15">
          <a:extLst>
            <a:ext uri="{FF2B5EF4-FFF2-40B4-BE49-F238E27FC236}">
              <a16:creationId xmlns:a16="http://schemas.microsoft.com/office/drawing/2014/main" id="{03DEE16A-E9F6-406D-8026-86567D95593C}"/>
            </a:ext>
          </a:extLst>
        </xdr:cNvPr>
        <xdr:cNvSpPr txBox="1"/>
      </xdr:nvSpPr>
      <xdr:spPr>
        <a:xfrm>
          <a:off x="13045440" y="5262880"/>
          <a:ext cx="629920" cy="33183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accent3">
                  <a:lumMod val="75000"/>
                </a:schemeClr>
              </a:solidFill>
            </a:rPr>
            <a:t>ROE</a:t>
          </a:r>
          <a:endParaRPr lang="ru-KZ" sz="1800" b="1">
            <a:solidFill>
              <a:schemeClr val="accent3">
                <a:lumMod val="75000"/>
              </a:schemeClr>
            </a:solidFill>
          </a:endParaRPr>
        </a:p>
      </xdr:txBody>
    </xdr:sp>
    <xdr:clientData/>
  </xdr:twoCellAnchor>
  <xdr:twoCellAnchor>
    <xdr:from>
      <xdr:col>22</xdr:col>
      <xdr:colOff>386080</xdr:colOff>
      <xdr:row>27</xdr:row>
      <xdr:rowOff>142240</xdr:rowOff>
    </xdr:from>
    <xdr:to>
      <xdr:col>29</xdr:col>
      <xdr:colOff>173798</xdr:colOff>
      <xdr:row>42</xdr:row>
      <xdr:rowOff>154029</xdr:rowOff>
    </xdr:to>
    <xdr:graphicFrame macro="">
      <xdr:nvGraphicFramePr>
        <xdr:cNvPr id="17" name="Диаграмма 16">
          <a:extLst>
            <a:ext uri="{FF2B5EF4-FFF2-40B4-BE49-F238E27FC236}">
              <a16:creationId xmlns:a16="http://schemas.microsoft.com/office/drawing/2014/main" id="{34E5D727-39B4-4B93-A556-D989804D92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25</xdr:col>
      <xdr:colOff>193040</xdr:colOff>
      <xdr:row>25</xdr:row>
      <xdr:rowOff>71120</xdr:rowOff>
    </xdr:from>
    <xdr:to>
      <xdr:col>26</xdr:col>
      <xdr:colOff>213360</xdr:colOff>
      <xdr:row>27</xdr:row>
      <xdr:rowOff>37199</xdr:rowOff>
    </xdr:to>
    <xdr:sp macro="" textlink="">
      <xdr:nvSpPr>
        <xdr:cNvPr id="18" name="TextBox 17">
          <a:extLst>
            <a:ext uri="{FF2B5EF4-FFF2-40B4-BE49-F238E27FC236}">
              <a16:creationId xmlns:a16="http://schemas.microsoft.com/office/drawing/2014/main" id="{08807646-8338-4837-A50E-551C55B11165}"/>
            </a:ext>
          </a:extLst>
        </xdr:cNvPr>
        <xdr:cNvSpPr txBox="1"/>
      </xdr:nvSpPr>
      <xdr:spPr>
        <a:xfrm>
          <a:off x="17556480" y="5323840"/>
          <a:ext cx="629920" cy="33183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accent3">
                  <a:lumMod val="75000"/>
                </a:schemeClr>
              </a:solidFill>
            </a:rPr>
            <a:t>ROA</a:t>
          </a:r>
          <a:endParaRPr lang="ru-KZ" sz="1800" b="1">
            <a:solidFill>
              <a:schemeClr val="accent3">
                <a:lumMod val="75000"/>
              </a:schemeClr>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69080</xdr:colOff>
      <xdr:row>0</xdr:row>
      <xdr:rowOff>0</xdr:rowOff>
    </xdr:from>
    <xdr:to>
      <xdr:col>1</xdr:col>
      <xdr:colOff>1288447</xdr:colOff>
      <xdr:row>5</xdr:row>
      <xdr:rowOff>12489</xdr:rowOff>
    </xdr:to>
    <xdr:pic>
      <xdr:nvPicPr>
        <xdr:cNvPr id="2" name="Рисунок 1" descr="New adidas Performance logo">
          <a:extLst>
            <a:ext uri="{FF2B5EF4-FFF2-40B4-BE49-F238E27FC236}">
              <a16:creationId xmlns:a16="http://schemas.microsoft.com/office/drawing/2014/main" id="{6CC698CA-90EB-4F8D-A583-CFED24E44A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080" y="0"/>
          <a:ext cx="1463207" cy="9268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137160</xdr:colOff>
      <xdr:row>0</xdr:row>
      <xdr:rowOff>0</xdr:rowOff>
    </xdr:from>
    <xdr:to>
      <xdr:col>2</xdr:col>
      <xdr:colOff>22360</xdr:colOff>
      <xdr:row>5</xdr:row>
      <xdr:rowOff>103929</xdr:rowOff>
    </xdr:to>
    <xdr:pic>
      <xdr:nvPicPr>
        <xdr:cNvPr id="3" name="Рисунок 2" descr="New adidas Performance logo">
          <a:extLst>
            <a:ext uri="{FF2B5EF4-FFF2-40B4-BE49-F238E27FC236}">
              <a16:creationId xmlns:a16="http://schemas.microsoft.com/office/drawing/2014/main" id="{206FF325-D658-48D2-A120-1F2C51A11E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7160" y="0"/>
          <a:ext cx="1683520" cy="11326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69080</xdr:colOff>
      <xdr:row>0</xdr:row>
      <xdr:rowOff>0</xdr:rowOff>
    </xdr:from>
    <xdr:to>
      <xdr:col>1</xdr:col>
      <xdr:colOff>1508760</xdr:colOff>
      <xdr:row>5</xdr:row>
      <xdr:rowOff>12489</xdr:rowOff>
    </xdr:to>
    <xdr:pic>
      <xdr:nvPicPr>
        <xdr:cNvPr id="2" name="Рисунок 1" descr="New adidas Performance logo">
          <a:extLst>
            <a:ext uri="{FF2B5EF4-FFF2-40B4-BE49-F238E27FC236}">
              <a16:creationId xmlns:a16="http://schemas.microsoft.com/office/drawing/2014/main" id="{0FAA60BC-4681-4403-A9E3-4E8783D3E59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080" y="0"/>
          <a:ext cx="1767340" cy="9268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69080</xdr:colOff>
      <xdr:row>0</xdr:row>
      <xdr:rowOff>0</xdr:rowOff>
    </xdr:from>
    <xdr:to>
      <xdr:col>1</xdr:col>
      <xdr:colOff>1395127</xdr:colOff>
      <xdr:row>5</xdr:row>
      <xdr:rowOff>126789</xdr:rowOff>
    </xdr:to>
    <xdr:pic>
      <xdr:nvPicPr>
        <xdr:cNvPr id="2" name="Рисунок 1" descr="New adidas Performance logo">
          <a:extLst>
            <a:ext uri="{FF2B5EF4-FFF2-40B4-BE49-F238E27FC236}">
              <a16:creationId xmlns:a16="http://schemas.microsoft.com/office/drawing/2014/main" id="{20A84ADD-F281-42DE-8339-75580F433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080" y="0"/>
          <a:ext cx="1463207" cy="10411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array.xml><?xml version="1.0" encoding="utf-8"?>
<arrayData xmlns="http://schemas.microsoft.com/office/spreadsheetml/2017/richdata2" count="11">
  <a r="1" c="105">
    <v t="i">1</v>
    <v t="i">8</v>
    <v t="i">15</v>
    <v t="i">22</v>
    <v t="i">29</v>
    <v t="i">36</v>
    <v t="i">43</v>
    <v t="i">50</v>
    <v t="i">58</v>
    <v t="i">64</v>
    <v t="i">71</v>
    <v t="i">78</v>
    <v t="i">85</v>
    <v t="i">92</v>
    <v t="i">99</v>
    <v t="i">106</v>
    <v t="i">113</v>
    <v t="i">120</v>
    <v t="i">127</v>
    <v t="i">134</v>
    <v t="i">141</v>
    <v t="i">148</v>
    <v t="i">156</v>
    <v t="i">162</v>
    <v t="i">169</v>
    <v t="i">176</v>
    <v t="i">183</v>
    <v t="i">190</v>
    <v t="i">197</v>
    <v t="i">204</v>
    <v t="i">211</v>
    <v t="i">218</v>
    <v t="i">225</v>
    <v t="i">232</v>
    <v t="i">239</v>
    <v t="i">246</v>
    <v t="i">253</v>
    <v t="i">260</v>
    <v t="i">267</v>
    <v t="i">274</v>
    <v t="i">281</v>
    <v t="i">288</v>
    <v t="i">296</v>
    <v t="i">302</v>
    <v t="i">309</v>
    <v t="i">316</v>
    <v t="i">324</v>
    <v t="i">330</v>
    <v t="i">337</v>
    <v t="i">344</v>
    <v t="i">351</v>
    <v t="i">358</v>
    <v t="i">365</v>
    <v t="i">372</v>
    <v t="i">379</v>
    <v t="i">386</v>
    <v t="i">393</v>
    <v t="i">400</v>
    <v t="i">407</v>
    <v t="i">414</v>
    <v t="i">422</v>
    <v t="i">428</v>
    <v t="i">435</v>
    <v t="i">442</v>
    <v t="i">449</v>
    <v t="i">456</v>
    <v t="i">463</v>
    <v t="i">470</v>
    <v t="i">477</v>
    <v t="i">484</v>
    <v t="i">491</v>
    <v t="i">498</v>
    <v t="i">505</v>
    <v t="i">512</v>
    <v t="i">520</v>
    <v t="i">526</v>
    <v t="i">533</v>
    <v t="i">540</v>
    <v t="i">547</v>
    <v t="i">554</v>
    <v t="i">561</v>
    <v t="i">568</v>
    <v t="i">575</v>
    <v t="i">582</v>
    <v t="i">589</v>
    <v t="i">596</v>
    <v t="i">603</v>
    <v t="i">610</v>
    <v t="i">617</v>
    <v t="i">624</v>
    <v t="i">631</v>
    <v t="i">638</v>
    <v t="i">645</v>
    <v t="i">652</v>
    <v t="i">660</v>
    <v t="i">666</v>
    <v t="i">673</v>
    <v t="i">680</v>
    <v t="i">688</v>
    <v t="i">694</v>
    <v t="i">701</v>
    <v t="i">708</v>
    <v t="i">715</v>
    <v t="i">722</v>
    <v t="i">729</v>
  </a>
  <a r="1" c="105">
    <v>476.49</v>
    <v>469.57</v>
    <v>455.1</v>
    <v>467.21</v>
    <v>469.98</v>
    <v>478.74</v>
    <v>486.69</v>
    <v>486.73</v>
    <v>484.62</v>
    <v>490.8</v>
    <v>498.98</v>
    <v>501.78</v>
    <v>500.13</v>
    <v>509.84</v>
    <v>514.54999999999995</v>
    <v>504.55</v>
    <v>500.33</v>
    <v>489.91</v>
    <v>489.82</v>
    <v>509.45</v>
    <v>516.66</v>
    <v>518.04</v>
    <v>496.64</v>
    <v>516.57000000000005</v>
    <v>523.88</v>
    <v>525.38</v>
    <v>526.65</v>
    <v>532.71</v>
    <v>537.36</v>
    <v>532.26</v>
    <v>524.94000000000005</v>
    <v>549.95000000000005</v>
    <v>538.5</v>
    <v>547.47</v>
    <v>553.45000000000005</v>
    <v>558.82000000000005</v>
    <v>555.61</v>
    <v>545.04</v>
    <v>547.08000000000004</v>
    <v>544.4</v>
    <v>533.89</v>
    <v>549.46</v>
    <v>559.01</v>
    <v>553.33000000000004</v>
    <v>552.20000000000005</v>
    <v>560.69000000000005</v>
    <v>551.75</v>
    <v>546.33000000000004</v>
    <v>529.51</v>
    <v>517.46</v>
    <v>520.26</v>
    <v>510.8</v>
    <v>465.52</v>
    <v>490.55</v>
    <v>483.9</v>
    <v>506.11</v>
    <v>520.71</v>
    <v>518.65</v>
    <v>546.26</v>
    <v>532.4</v>
    <v>541.76</v>
    <v>550.66</v>
    <v>548.77</v>
    <v>547.72</v>
    <v>566.95000000000005</v>
    <v>575.22</v>
    <v>573.22</v>
    <v>576.91999999999996</v>
    <v>585.58000000000004</v>
    <v>571.45000000000005</v>
    <v>585.74</v>
    <v>591.57000000000005</v>
    <v>593.21</v>
    <v>593.08000000000004</v>
    <v>594.96</v>
    <v>604.44000000000005</v>
    <v>611.78</v>
    <v>610.16</v>
    <v>615.29999999999995</v>
    <v>600.51</v>
    <v>610.76</v>
    <v>622.54999999999995</v>
    <v>627.04</v>
    <v>616.89</v>
    <v>617.83000000000004</v>
    <v>605.92999999999995</v>
    <v>628.41</v>
    <v>630.48</v>
    <v>626.87</v>
    <v>627.55999999999995</v>
    <v>634.84</v>
    <v>628.29999999999995</v>
    <v>638.30999999999995</v>
    <v>636.09</v>
    <v>633.83000000000004</v>
    <v>636.22</v>
    <v>635.24</v>
    <v>626.89</v>
    <v>634.02</v>
    <v>631.04</v>
    <v>618.42999999999995</v>
    <v>609.09</v>
    <v>597.94000000000005</v>
    <v>582.96</v>
    <v>602.99</v>
  </a>
  <a r="1" c="105">
    <v t="i">2</v>
    <v t="i">8</v>
    <v t="i">15</v>
    <v t="i">22</v>
    <v t="i">29</v>
    <v t="i">36</v>
    <v t="i">43</v>
    <v t="i">50</v>
    <v t="i">57</v>
    <v t="i">64</v>
    <v t="i">71</v>
    <v t="i">78</v>
    <v t="i">85</v>
    <v t="i">92</v>
    <v t="i">99</v>
    <v t="i">106</v>
    <v t="i">113</v>
    <v t="i">120</v>
    <v t="i">127</v>
    <v t="i">134</v>
    <v t="i">141</v>
    <v t="i">148</v>
    <v t="i">155</v>
    <v t="i">162</v>
    <v t="i">169</v>
    <v t="i">176</v>
    <v t="i">183</v>
    <v t="i">190</v>
    <v t="i">197</v>
    <v t="i">204</v>
    <v t="i">211</v>
    <v t="i">218</v>
    <v t="i">225</v>
    <v t="i">232</v>
    <v t="i">239</v>
    <v t="i">246</v>
    <v t="i">253</v>
    <v t="i">260</v>
    <v t="i">267</v>
    <v t="i">274</v>
    <v t="i">281</v>
    <v t="i">288</v>
    <v t="i">295</v>
    <v t="i">302</v>
    <v t="i">309</v>
    <v t="i">316</v>
    <v t="i">323</v>
    <v t="i">330</v>
    <v t="i">337</v>
    <v t="i">344</v>
    <v t="i">351</v>
    <v t="i">358</v>
    <v t="i">365</v>
    <v t="i">372</v>
    <v t="i">379</v>
    <v t="i">387</v>
    <v t="i">393</v>
    <v t="i">400</v>
    <v t="i">407</v>
    <v t="i">414</v>
    <v t="i">421</v>
    <v t="i">428</v>
    <v t="i">435</v>
    <v t="i">442</v>
    <v t="i">449</v>
    <v t="i">456</v>
    <v t="i">463</v>
    <v t="i">470</v>
    <v t="i">477</v>
    <v t="i">484</v>
    <v t="i">491</v>
    <v t="i">498</v>
    <v t="i">505</v>
    <v t="i">512</v>
    <v t="i">519</v>
    <v t="i">526</v>
    <v t="i">533</v>
    <v t="i">540</v>
    <v t="i">547</v>
    <v t="i">554</v>
    <v t="i">561</v>
    <v t="i">568</v>
    <v t="i">575</v>
    <v t="i">582</v>
    <v t="i">589</v>
    <v t="i">596</v>
    <v t="i">603</v>
    <v t="i">610</v>
    <v t="i">617</v>
    <v t="i">624</v>
    <v t="i">631</v>
    <v t="i">638</v>
    <v t="i">645</v>
    <v t="i">652</v>
    <v t="i">659</v>
    <v t="i">666</v>
    <v t="i">673</v>
    <v t="i">680</v>
    <v t="i">687</v>
    <v t="i">694</v>
    <v t="i">701</v>
    <v t="i">708</v>
    <v t="i">715</v>
    <v t="i">722</v>
    <v t="i">729</v>
  </a>
  <a r="1" c="105">
    <v>42.14</v>
    <v>40.39</v>
    <v>42.56</v>
    <v>43.71</v>
    <v>44.77</v>
    <v>50.82</v>
    <v>51.42</v>
    <v>47.73</v>
    <v>47.55</v>
    <v>47.47</v>
    <v>45.06</v>
    <v>44.05</v>
    <v>42.87</v>
    <v>43.72</v>
    <v>44.7</v>
    <v>43.97</v>
    <v>45.34</v>
    <v>43.53</v>
    <v>34.909999999999997</v>
    <v>36.840000000000003</v>
    <v>37.49</v>
    <v>39.090000000000003</v>
    <v>38.99</v>
    <v>38.299999999999997</v>
    <v>35.270000000000003</v>
    <v>38.619999999999997</v>
    <v>37.11</v>
    <v>36.200000000000003</v>
    <v>39.369999999999997</v>
    <v>42.54</v>
    <v>43.08</v>
    <v>45.74</v>
    <v>46.54</v>
    <v>43.83</v>
    <v>44.3</v>
    <v>46.53</v>
    <v>45.75</v>
    <v>45.53</v>
    <v>45.05</v>
    <v>43.5</v>
    <v>42.71</v>
    <v>40.479999999999997</v>
    <v>32.049999999999997</v>
    <v>30.41</v>
    <v>28.32</v>
    <v>29.86</v>
    <v>28.51</v>
    <v>28.83</v>
    <v>29.21</v>
    <v>22.26</v>
    <v>23.79</v>
    <v>22.63</v>
    <v>20.170000000000002</v>
    <v>19.02</v>
    <v>20.62</v>
    <v>22.73</v>
    <v>23.05</v>
    <v>22.57</v>
    <v>23.34</v>
    <v>22.03</v>
    <v>22.8</v>
    <v>21.66</v>
    <v>21.12</v>
    <v>21.41</v>
    <v>22.77</v>
    <v>23.17</v>
    <v>22.79</v>
    <v>21.91</v>
    <v>20.7</v>
    <v>18.3</v>
    <v>18.094999999999999</v>
    <v>17.16</v>
    <v>18.739999999999998</v>
    <v>21.49</v>
    <v>19.715</v>
    <v>19</v>
    <v>21.6</v>
    <v>20.62</v>
    <v>21.47</v>
    <v>21.64</v>
    <v>21.13</v>
    <v>22.03</v>
    <v>18.420000000000002</v>
    <v>15.875</v>
    <v>16.285</v>
    <v>15.63</v>
    <v>19.95</v>
    <v>21.09</v>
    <v>21.75</v>
    <v>22.42</v>
    <v>21.55</v>
    <v>22.4</v>
    <v>23.95</v>
    <v>21.91</v>
    <v>18.5</v>
    <v>21.64</v>
    <v>22.7</v>
    <v>23.45</v>
    <v>23.25</v>
    <v>23.76</v>
    <v>22.4</v>
    <v>21.61</v>
    <v>20.059999999999999</v>
    <v>21.47</v>
    <v>22.05</v>
  </a>
  <a r="1" c="105">
    <v>50.17</v>
    <v>50.15</v>
    <v>49.55</v>
    <v>50.58</v>
    <v>50.48</v>
    <v>52.13</v>
    <v>52.46</v>
    <v>52.29</v>
    <v>52.09</v>
    <v>52.74</v>
    <v>51.38</v>
    <v>51.17</v>
    <v>50.87</v>
    <v>51.41</v>
    <v>52.16</v>
    <v>50.73</v>
    <v>51.05</v>
    <v>49.57</v>
    <v>49.74</v>
    <v>51.01</v>
    <v>51.7</v>
    <v>52.39</v>
    <v>50.55</v>
    <v>51.47</v>
    <v>50.79</v>
    <v>52.23</v>
    <v>51.26</v>
    <v>51.62</v>
    <v>51.93</v>
    <v>51.34</v>
    <v>50.57</v>
    <v>50.16</v>
    <v>49.8</v>
    <v>50.41</v>
    <v>50.56</v>
    <v>51.6</v>
    <v>51.17</v>
    <v>49.72</v>
    <v>50.17</v>
    <v>50.27</v>
    <v>50.57</v>
    <v>51.76</v>
    <v>52.42</v>
    <v>53.41</v>
    <v>53.73</v>
    <v>54.73</v>
    <v>54.91</v>
    <v>55.27</v>
    <v>54.92</v>
    <v>54.3</v>
    <v>54.39</v>
    <v>53.75</v>
    <v>49.104999999999997</v>
    <v>48.42</v>
    <v>50.31</v>
    <v>51.94</v>
    <v>53.6</v>
    <v>53.9</v>
    <v>55.17</v>
    <v>54.89</v>
    <v>55.33</v>
    <v>55.81</v>
    <v>54.91</v>
    <v>53.53</v>
    <v>54.23</v>
    <v>54</v>
    <v>54.6</v>
    <v>54.58</v>
    <v>54.91</v>
    <v>53.23</v>
    <v>54.67</v>
    <v>55.41</v>
    <v>56.16</v>
    <v>55.04</v>
    <v>54.96</v>
    <v>55.49</v>
    <v>54.92</v>
    <v>54.95</v>
    <v>56.53</v>
    <v>55.88</v>
    <v>56.14</v>
    <v>57.08</v>
    <v>56.77</v>
    <v>56.04</v>
    <v>57.09</v>
    <v>55.8</v>
    <v>57.24</v>
    <v>57.48</v>
    <v>57.34</v>
    <v>58.1</v>
    <v>58.21</v>
    <v>59.03</v>
    <v>60.4</v>
    <v>60.88</v>
    <v>60.23</v>
    <v>60.54</v>
    <v>61.13</v>
    <v>61.24</v>
    <v>62.62</v>
    <v>62.87</v>
    <v>59.4</v>
    <v>59.13</v>
    <v>56.7</v>
    <v>57.05</v>
    <v>59.24</v>
  </a>
  <a r="1" c="105">
    <v>82.69</v>
    <v>86.98</v>
    <v>89.9</v>
    <v>88.46</v>
    <v>85.4</v>
    <v>85.39</v>
    <v>84.8</v>
    <v>84.52</v>
    <v>86.24</v>
    <v>90.4</v>
    <v>87.54</v>
    <v>89.82</v>
    <v>70.989999999999995</v>
    <v>70.13</v>
    <v>67.66</v>
    <v>66.34</v>
    <v>66.61</v>
    <v>67.12</v>
    <v>67.760000000000005</v>
    <v>76.180000000000007</v>
    <v>74.97</v>
    <v>74.709999999999994</v>
    <v>72.94</v>
    <v>71.290000000000006</v>
    <v>77.22</v>
    <v>80.56</v>
    <v>75.28</v>
    <v>74.540000000000006</v>
    <v>76.34</v>
    <v>73.05</v>
    <v>71.540000000000006</v>
    <v>71.14</v>
    <v>72.63</v>
    <v>73.92</v>
    <v>75.05</v>
    <v>76.489999999999995</v>
    <v>73.819999999999993</v>
    <v>73.47</v>
    <v>73.209999999999994</v>
    <v>71.14</v>
    <v>70.12</v>
    <v>69.260000000000005</v>
    <v>70.290000000000006</v>
    <v>75</v>
    <v>67.91</v>
    <v>69.58</v>
    <v>73.680000000000007</v>
    <v>75.959999999999994</v>
    <v>71.2</v>
    <v>66</v>
    <v>62.9</v>
    <v>58.8</v>
    <v>52.53</v>
    <v>47.02</v>
    <v>47.8</v>
    <v>50.5</v>
    <v>50.83</v>
    <v>52.15</v>
    <v>56.91</v>
    <v>52.94</v>
    <v>53.59</v>
    <v>54.95</v>
    <v>53.68</v>
    <v>51.65</v>
    <v>61.84</v>
    <v>64.5</v>
    <v>62.06</v>
    <v>62.07</v>
    <v>64.5</v>
    <v>63.56</v>
    <v>63.13</v>
    <v>65.239999999999995</v>
    <v>67.03</v>
    <v>66.44</v>
    <v>63.37</v>
    <v>61.77</v>
    <v>60.46</v>
    <v>58.45</v>
    <v>61.82</v>
    <v>56.86</v>
    <v>57.77</v>
    <v>59.73</v>
    <v>56.11</v>
    <v>52.59</v>
    <v>55.46</v>
    <v>54.29</v>
    <v>55.78</v>
    <v>56.5</v>
    <v>57.61</v>
    <v>50.49</v>
    <v>48.71</v>
    <v>53.82</v>
    <v>56.63</v>
    <v>55.45</v>
    <v>55.02</v>
    <v>51.95</v>
    <v>53.96</v>
    <v>53.03</v>
    <v>55.04</v>
    <v>52.72</v>
    <v>49.055</v>
    <v>47.26</v>
    <v>46</v>
    <v>44.89</v>
    <v>37.835000000000001</v>
  </a>
  <a r="1" c="105">
    <v t="i">1</v>
    <v t="i">8</v>
    <v t="i">15</v>
    <v t="i">22</v>
    <v t="i">30</v>
    <v t="i">37</v>
    <v t="i">43</v>
    <v t="i">50</v>
    <v t="i">57</v>
    <v t="i">64</v>
    <v t="i">71</v>
    <v t="i">78</v>
    <v t="i">85</v>
    <v t="i">92</v>
    <v t="i">99</v>
    <v t="i">107</v>
    <v t="i">113</v>
    <v t="i">120</v>
    <v t="i">127</v>
    <v t="i">135</v>
    <v t="i">141</v>
    <v t="i">148</v>
    <v t="i">155</v>
    <v t="i">162</v>
    <v t="i">170</v>
    <v t="i">177</v>
    <v t="i">183</v>
    <v t="i">190</v>
    <v t="i">198</v>
    <v t="i">204</v>
    <v t="i">211</v>
    <v t="i">218</v>
    <v t="i">225</v>
    <v t="i">232</v>
    <v t="i">239</v>
    <v t="i">246</v>
    <v t="i">253</v>
    <v t="i">260</v>
    <v t="i">267</v>
    <v t="i">274</v>
    <v t="i">281</v>
    <v t="i">289</v>
    <v t="i">295</v>
    <v t="i">302</v>
    <v t="i">309</v>
    <v t="i">316</v>
    <v t="i">323</v>
    <v t="i">331</v>
    <v t="i">337</v>
    <v t="i">344</v>
    <v t="i">351</v>
    <v t="i">358</v>
    <v t="i">365</v>
    <v t="i">372</v>
    <v t="i">379</v>
    <v t="i">386</v>
    <v t="i">393</v>
    <v t="i">402</v>
    <v t="i">407</v>
    <v t="i">414</v>
    <v t="i">421</v>
    <v t="i">428</v>
    <v t="i">435</v>
    <v t="i">442</v>
    <v t="i">449</v>
    <v t="i">456</v>
    <v t="i">463</v>
    <v t="i">470</v>
    <v t="i">478</v>
    <v t="i">484</v>
    <v t="i">491</v>
    <v t="i">499</v>
    <v t="i">505</v>
    <v t="i">512</v>
    <v t="i">519</v>
    <v t="i">526</v>
    <v t="i">534</v>
    <v t="i">540</v>
    <v t="i">547</v>
    <v t="i">554</v>
    <v t="i">562</v>
    <v t="i">568</v>
    <v t="i">575</v>
    <v t="i">583</v>
    <v t="i">589</v>
    <v t="i">596</v>
    <v t="i">604</v>
    <v t="i">610</v>
    <v t="i">617</v>
    <v t="i">624</v>
    <v t="i">631</v>
    <v t="i">638</v>
    <v t="i">645</v>
    <v t="i">653</v>
    <v t="i">659</v>
    <v t="i">666</v>
    <v t="i">673</v>
    <v t="i">680</v>
    <v t="i">687</v>
    <v t="i">695</v>
    <v t="i">701</v>
    <v t="i">708</v>
    <v t="i">715</v>
    <v t="i">722</v>
    <v t="i">729</v>
  </a>
  <a r="1" c="105">
    <v>38992.080000000002</v>
    <v>39523.550000000003</v>
    <v>37068.35</v>
    <v>37934.76</v>
    <v>38236.07</v>
    <v>38229.11</v>
    <v>38787.379999999997</v>
    <v>38646.11</v>
    <v>38487.9</v>
    <v>38683.93</v>
    <v>38814.559999999998</v>
    <v>38596.47</v>
    <v>39583.08</v>
    <v>40912.370000000003</v>
    <v>41190.68</v>
    <v>40063.79</v>
    <v>37667.410000000003</v>
    <v>35909.699999999997</v>
    <v>35025</v>
    <v>38062.67</v>
    <v>38364.269999999997</v>
    <v>38647.75</v>
    <v>36391.47</v>
    <v>36581.760000000002</v>
    <v>37723.910000000003</v>
    <v>39829.56</v>
    <v>38635.620000000003</v>
    <v>39605.800000000003</v>
    <v>38981.75</v>
    <v>37913.919999999998</v>
    <v>38053.67</v>
    <v>39500.370000000003</v>
    <v>38642.910000000003</v>
    <v>38283.85</v>
    <v>38208.03</v>
    <v>39091.17</v>
    <v>39470.44</v>
    <v>38701.9</v>
    <v>40281.160000000003</v>
    <v>39894.54</v>
    <v>39190.400000000001</v>
    <v>38451.46</v>
    <v>39931.980000000003</v>
    <v>39572.49</v>
    <v>38787.019999999997</v>
    <v>39149.43</v>
    <v>38776.94</v>
    <v>37155.5</v>
    <v>36887.17</v>
    <v>37053.1</v>
    <v>37677.06</v>
    <v>37120.33</v>
    <v>33780.58</v>
    <v>33585.58</v>
    <v>34730.28</v>
    <v>35705.74</v>
    <v>36830.69</v>
    <v>37503.33</v>
    <v>37753.72</v>
    <v>37160.47</v>
    <v>37965.1</v>
    <v>37741.61</v>
    <v>37834.25</v>
    <v>38403.230000000003</v>
    <v>40150.79</v>
    <v>39810.879999999997</v>
    <v>39569.68</v>
    <v>39819.11</v>
    <v>41456.230000000003</v>
    <v>40799.599999999999</v>
    <v>41820.480000000003</v>
    <v>43378.31</v>
    <v>42633.29</v>
    <v>42718.47</v>
    <v>43018.75</v>
    <v>44768.12</v>
    <v>45045.81</v>
    <v>45354.99</v>
    <v>45769.5</v>
    <v>48088.800000000003</v>
    <v>47582.15</v>
    <v>49299.65</v>
    <v>52411.34</v>
    <v>50276.37</v>
    <v>50376.53</v>
    <v>48625.88</v>
    <v>50253.91</v>
    <v>50491.87</v>
    <v>50836.55</v>
    <v>49507.21</v>
    <v>50750.39</v>
    <v>50339.48</v>
    <v>51939.89</v>
    <v>53936.17</v>
    <v>53846.87</v>
    <v>53322.85</v>
    <v>54253.68</v>
    <v>56941.97</v>
    <v>56825.7</v>
    <v>58850.27</v>
    <v>55620.84</v>
    <v>53819.61</v>
    <v>53372.53</v>
    <v>53373.07</v>
    <v>53123.49</v>
  </a>
  <a r="1" c="105">
    <v>6.82</v>
    <v>6.56</v>
    <v>6.73</v>
    <v>6.8</v>
    <v>6.74</v>
    <v>6.71</v>
    <v>6.78</v>
    <v>6.65</v>
    <v>7.19</v>
    <v>6.91</v>
    <v>6.68</v>
    <v>6.99</v>
    <v>6.67</v>
    <v>6.4</v>
    <v>6.87</v>
    <v>6.7</v>
    <v>6.89</v>
    <v>6.5</v>
    <v>7.9</v>
    <v>8</v>
    <v>8.58</v>
    <v>7.69</v>
    <v>7.79</v>
    <v>7.65</v>
    <v>7.99</v>
    <v>8.94</v>
    <v>8.84</v>
    <v>8.31</v>
    <v>9.36</v>
    <v>8.6300000000000008</v>
    <v>8.52</v>
    <v>9.68</v>
    <v>9.94</v>
    <v>9.52</v>
    <v>9.7100000000000009</v>
    <v>10.119999999999999</v>
    <v>8.81</v>
    <v>8.6199999999999992</v>
    <v>8.3800000000000008</v>
    <v>8.36</v>
    <v>8.2100000000000009</v>
    <v>8.1999999999999993</v>
    <v>8.42</v>
    <v>8.35</v>
    <v>7.3</v>
    <v>7.1</v>
    <v>7.09</v>
    <v>6.81</v>
    <v>7.08</v>
    <v>6.7</v>
    <v>6.42</v>
    <v>6.3</v>
    <v>5.26</v>
    <v>5.19</v>
    <v>5.83</v>
    <v>5.71</v>
    <v>5.99</v>
    <v>5.84</v>
    <v>6.71</v>
    <v>6.69</v>
    <v>6.71</v>
    <v>6.74</v>
    <v>6.6</v>
    <v>7.03</v>
    <v>6.89</v>
    <v>7.11</v>
    <v>6.85</v>
    <v>6.86</v>
    <v>7.36</v>
    <v>6.57</v>
    <v>5.44</v>
    <v>5.17</v>
    <v>5.14</v>
    <v>5</v>
    <v>5.14</v>
    <v>4.8499999999999996</v>
    <v>4.83</v>
    <v>4.97</v>
    <v>5.05</v>
    <v>4.75</v>
    <v>4.78</v>
    <v>4.8099999999999996</v>
    <v>4.6100000000000003</v>
    <v>4.66</v>
    <v>4.53</v>
    <v>4.28</v>
    <v>4.62</v>
    <v>4.55</v>
    <v>4.33</v>
    <v>4.53</v>
    <v>4.6500000000000004</v>
    <v>5.29</v>
    <v>5.64</v>
    <v>5.78</v>
    <v>6.35</v>
    <v>6.17</v>
    <v>7.56</v>
    <v>7.19</v>
    <v>8.14</v>
    <v>7.42</v>
    <v>6.59</v>
    <v>6.49</v>
    <v>5.85</v>
    <v>5.74</v>
    <v>5.62</v>
  </a>
  <a r="1" c="105">
    <v>201.6</v>
    <v>196.4</v>
    <v>224.6</v>
    <v>230.9</v>
    <v>225</v>
    <v>224.4</v>
    <v>228.9</v>
    <v>223.9</v>
    <v>231.5</v>
    <v>231</v>
    <v>224.9</v>
    <v>217.8</v>
    <v>223</v>
    <v>220.3</v>
    <v>231.2</v>
    <v>227.1</v>
    <v>233</v>
    <v>218.7</v>
    <v>214.6</v>
    <v>217</v>
    <v>219.2</v>
    <v>232</v>
    <v>220.7</v>
    <v>218.5</v>
    <v>217.8</v>
    <v>240.3</v>
    <v>238.2</v>
    <v>233.6</v>
    <v>227.9</v>
    <v>217</v>
    <v>222.1</v>
    <v>219</v>
    <v>215</v>
    <v>214.4</v>
    <v>223.1</v>
    <v>241.6</v>
    <v>240</v>
    <v>236.4</v>
    <v>236</v>
    <v>233.6</v>
    <v>243.8</v>
    <v>241.7</v>
    <v>254.5</v>
    <v>254.9</v>
    <v>253.6</v>
    <v>258.8</v>
    <v>245.9</v>
    <v>246.2</v>
    <v>236.4</v>
    <v>223</v>
    <v>224.1</v>
    <v>221.9</v>
    <v>196.15</v>
    <v>195.85</v>
    <v>198.65</v>
    <v>217</v>
    <v>206.7</v>
    <v>209</v>
    <v>219.1</v>
    <v>214</v>
    <v>219.5</v>
    <v>211.4</v>
    <v>200</v>
    <v>195.4</v>
    <v>199.6</v>
    <v>205.3</v>
    <v>208.2</v>
    <v>205.8</v>
    <v>198.95</v>
    <v>167.25</v>
    <v>167.5</v>
    <v>166.2</v>
    <v>171.45</v>
    <v>166.35</v>
    <v>175.7</v>
    <v>177</v>
    <v>179.35</v>
    <v>180.3</v>
    <v>187.6</v>
    <v>187.5</v>
    <v>191.4</v>
    <v>187.4</v>
    <v>163.80000000000001</v>
    <v>157.55000000000001</v>
    <v>161.65</v>
    <v>151.6</v>
    <v>160.4</v>
    <v>164.3</v>
    <v>167.5</v>
    <v>165.1</v>
    <v>164.4</v>
    <v>167.4</v>
    <v>166.65</v>
    <v>159.85</v>
    <v>143.75</v>
    <v>149.15</v>
    <v>152.85</v>
    <v>154.94999999999999</v>
    <v>158.69999999999999</v>
    <v>158.19999999999999</v>
    <v>142.69999999999999</v>
    <v>138.9</v>
    <v>133.5</v>
    <v>132.05000000000001</v>
    <v>134.9</v>
  </a>
  <a r="1" c="105">
    <v>11.62</v>
    <v>11.471299999999999</v>
    <v>10.76</v>
    <v>10.785</v>
    <v>11.0025</v>
    <v>13.125</v>
    <v>13.0588</v>
    <v>13.4375</v>
    <v>13.823600000000001</v>
    <v>15.012499999999999</v>
    <v>14.585000000000001</v>
    <v>15.37</v>
    <v>15.3</v>
    <v>15.58</v>
    <v>16.175000000000001</v>
    <v>16.72</v>
    <v>15.06</v>
    <v>14.13</v>
    <v>15.1</v>
    <v>17.27</v>
    <v>18.350000000000001</v>
    <v>19.850000000000001</v>
    <v>18.18</v>
    <v>19.329999999999998</v>
    <v>20.594999999999999</v>
    <v>20.5487</v>
    <v>19.78</v>
    <v>18.95</v>
    <v>18.616</v>
    <v>17.36</v>
    <v>17.329999999999998</v>
    <v>16.93</v>
    <v>17.34</v>
    <v>18.57</v>
    <v>20.36</v>
    <v>20.7</v>
    <v>19.91</v>
    <v>19.79</v>
    <v>19.97</v>
    <v>19.55</v>
    <v>20.420000000000002</v>
    <v>21.38</v>
    <v>22.86</v>
    <v>22.2</v>
    <v>21.391999999999999</v>
    <v>23.5</v>
    <v>23.2</v>
    <v>22.3</v>
    <v>21.87</v>
    <v>21.82</v>
    <v>21.29</v>
    <v>20.762</v>
    <v>17.79</v>
    <v>20.61</v>
    <v>20.045500000000001</v>
    <v>21.69</v>
    <v>22.32</v>
    <v>22.81</v>
    <v>22.6</v>
    <v>23.911999999999999</v>
    <v>24.04</v>
    <v>24.175000000000001</v>
    <v>23.63</v>
    <v>22.5</v>
    <v>25.61</v>
    <v>24.99</v>
    <v>24.7</v>
    <v>24.2</v>
    <v>25.28</v>
    <v>23.79</v>
    <v>23.62</v>
    <v>28.82</v>
    <v>28.57</v>
    <v>26.92</v>
    <v>27.38</v>
    <v>28.2</v>
    <v>26.326000000000001</v>
    <v>26.24</v>
    <v>25.975000000000001</v>
    <v>24.22</v>
    <v>24.66</v>
    <v>26.07</v>
    <v>25.484000000000002</v>
    <v>24.29</v>
    <v>24.53</v>
    <v>24.05</v>
    <v>24.105</v>
    <v>23.99</v>
    <v>24.83</v>
    <v>24.62</v>
    <v>24.95</v>
    <v>23.95</v>
    <v>26.663</v>
    <v>26.19</v>
    <v>25.585000000000001</v>
    <v>24.015000000000001</v>
    <v>24.59</v>
    <v>29.074999999999999</v>
    <v>31.4</v>
    <v>30.55</v>
    <v>28.49</v>
    <v>27.598500000000001</v>
    <v>26.6</v>
    <v>26.135000000000002</v>
    <v>27.54</v>
  </a>
</arrayData>
</file>

<file path=xl/richData/rdrichvalue.xml><?xml version="1.0" encoding="utf-8"?>
<rvData xmlns="http://schemas.microsoft.com/office/spreadsheetml/2017/richdata" count="950">
  <rv s="0">
    <fb>45384</fb>
    <v>0</v>
  </rv>
  <rv s="0">
    <fb>201.6</fb>
    <v>1</v>
  </rv>
  <rv s="0">
    <fb>82.69</fb>
    <v>1</v>
  </rv>
  <rv s="0">
    <fb>42.14</fb>
    <v>1</v>
  </rv>
  <rv s="0">
    <fb>45383</fb>
    <v>0</v>
  </rv>
  <rv s="0">
    <fb>6.82</fb>
    <v>2</v>
  </rv>
  <rv s="0">
    <fb>11.62</fb>
    <v>2</v>
  </rv>
  <rv s="0">
    <fb>50.17</fb>
    <v>1</v>
  </rv>
  <rv s="0">
    <fb>476.49</fb>
    <v>2</v>
  </rv>
  <rv s="0">
    <fb>38992.080000000002</fb>
    <v>3</v>
  </rv>
  <rv s="0">
    <fb>45390</fb>
    <v>0</v>
  </rv>
  <rv s="0">
    <fb>196.4</fb>
    <v>1</v>
  </rv>
  <rv s="0">
    <fb>86.98</fb>
    <v>1</v>
  </rv>
  <rv s="0">
    <fb>40.39</fb>
    <v>1</v>
  </rv>
  <rv s="0">
    <fb>6.56</fb>
    <v>2</v>
  </rv>
  <rv s="0">
    <fb>11.471299999999999</fb>
    <v>2</v>
  </rv>
  <rv s="0">
    <fb>50.15</fb>
    <v>1</v>
  </rv>
  <rv s="0">
    <fb>469.57</fb>
    <v>2</v>
  </rv>
  <rv s="0">
    <fb>39523.550000000003</fb>
    <v>3</v>
  </rv>
  <rv s="0">
    <fb>45397</fb>
    <v>0</v>
  </rv>
  <rv s="0">
    <fb>224.6</fb>
    <v>1</v>
  </rv>
  <rv s="0">
    <fb>89.9</fb>
    <v>1</v>
  </rv>
  <rv s="0">
    <fb>42.56</fb>
    <v>1</v>
  </rv>
  <rv s="0">
    <fb>6.73</fb>
    <v>2</v>
  </rv>
  <rv s="0">
    <fb>10.76</fb>
    <v>2</v>
  </rv>
  <rv s="0">
    <fb>49.55</fb>
    <v>1</v>
  </rv>
  <rv s="0">
    <fb>455.1</fb>
    <v>2</v>
  </rv>
  <rv s="0">
    <fb>37068.35</fb>
    <v>3</v>
  </rv>
  <rv s="0">
    <fb>45404</fb>
    <v>0</v>
  </rv>
  <rv s="0">
    <fb>230.9</fb>
    <v>1</v>
  </rv>
  <rv s="0">
    <fb>88.46</fb>
    <v>1</v>
  </rv>
  <rv s="0">
    <fb>43.71</fb>
    <v>1</v>
  </rv>
  <rv s="0">
    <fb>6.8</fb>
    <v>2</v>
  </rv>
  <rv s="0">
    <fb>10.785</fb>
    <v>2</v>
  </rv>
  <rv s="0">
    <fb>50.58</fb>
    <v>1</v>
  </rv>
  <rv s="0">
    <fb>467.21</fb>
    <v>2</v>
  </rv>
  <rv s="0">
    <fb>37934.76</fb>
    <v>3</v>
  </rv>
  <rv s="0">
    <fb>45411</fb>
    <v>0</v>
  </rv>
  <rv s="0">
    <fb>225</fb>
    <v>1</v>
  </rv>
  <rv s="0">
    <fb>85.4</fb>
    <v>1</v>
  </rv>
  <rv s="0">
    <fb>44.77</fb>
    <v>1</v>
  </rv>
  <rv s="0">
    <fb>6.74</fb>
    <v>2</v>
  </rv>
  <rv s="0">
    <fb>11.0025</fb>
    <v>2</v>
  </rv>
  <rv s="0">
    <fb>50.48</fb>
    <v>1</v>
  </rv>
  <rv s="0">
    <fb>469.98</fb>
    <v>2</v>
  </rv>
  <rv s="0">
    <fb>45412</fb>
    <v>0</v>
  </rv>
  <rv s="0">
    <fb>38236.07</fb>
    <v>3</v>
  </rv>
  <rv s="0">
    <fb>45418</fb>
    <v>0</v>
  </rv>
  <rv s="0">
    <fb>224.4</fb>
    <v>1</v>
  </rv>
  <rv s="0">
    <fb>85.39</fb>
    <v>1</v>
  </rv>
  <rv s="0">
    <fb>50.82</fb>
    <v>1</v>
  </rv>
  <rv s="0">
    <fb>6.71</fb>
    <v>2</v>
  </rv>
  <rv s="0">
    <fb>13.125</fb>
    <v>2</v>
  </rv>
  <rv s="0">
    <fb>52.13</fb>
    <v>1</v>
  </rv>
  <rv s="0">
    <fb>478.74</fb>
    <v>2</v>
  </rv>
  <rv s="0">
    <fb>45419</fb>
    <v>0</v>
  </rv>
  <rv s="0">
    <fb>38229.11</fb>
    <v>3</v>
  </rv>
  <rv s="0">
    <fb>45425</fb>
    <v>0</v>
  </rv>
  <rv s="0">
    <fb>228.9</fb>
    <v>1</v>
  </rv>
  <rv s="0">
    <fb>84.8</fb>
    <v>1</v>
  </rv>
  <rv s="0">
    <fb>51.42</fb>
    <v>1</v>
  </rv>
  <rv s="0">
    <fb>6.78</fb>
    <v>2</v>
  </rv>
  <rv s="0">
    <fb>13.0588</fb>
    <v>2</v>
  </rv>
  <rv s="0">
    <fb>52.46</fb>
    <v>1</v>
  </rv>
  <rv s="0">
    <fb>486.69</fb>
    <v>2</v>
  </rv>
  <rv s="0">
    <fb>38787.379999999997</fb>
    <v>3</v>
  </rv>
  <rv s="0">
    <fb>45432</fb>
    <v>0</v>
  </rv>
  <rv s="0">
    <fb>223.9</fb>
    <v>1</v>
  </rv>
  <rv s="0">
    <fb>84.52</fb>
    <v>1</v>
  </rv>
  <rv s="0">
    <fb>47.73</fb>
    <v>1</v>
  </rv>
  <rv s="0">
    <fb>6.65</fb>
    <v>2</v>
  </rv>
  <rv s="0">
    <fb>13.4375</fb>
    <v>2</v>
  </rv>
  <rv s="0">
    <fb>52.29</fb>
    <v>1</v>
  </rv>
  <rv s="0">
    <fb>486.73</fb>
    <v>2</v>
  </rv>
  <rv s="0">
    <fb>38646.11</fb>
    <v>3</v>
  </rv>
  <rv s="0">
    <fb>45439</fb>
    <v>0</v>
  </rv>
  <rv s="0">
    <fb>231.5</fb>
    <v>1</v>
  </rv>
  <rv s="0">
    <fb>86.24</fb>
    <v>1</v>
  </rv>
  <rv s="0">
    <fb>47.55</fb>
    <v>1</v>
  </rv>
  <rv s="0">
    <fb>45440</fb>
    <v>0</v>
  </rv>
  <rv s="0">
    <fb>7.19</fb>
    <v>2</v>
  </rv>
  <rv s="0">
    <fb>13.823600000000001</fb>
    <v>2</v>
  </rv>
  <rv s="0">
    <fb>52.09</fb>
    <v>1</v>
  </rv>
  <rv s="0">
    <fb>484.62</fb>
    <v>2</v>
  </rv>
  <rv s="0">
    <fb>38487.9</fb>
    <v>3</v>
  </rv>
  <rv s="0">
    <fb>45446</fb>
    <v>0</v>
  </rv>
  <rv s="0">
    <fb>231</fb>
    <v>1</v>
  </rv>
  <rv s="0">
    <fb>90.4</fb>
    <v>1</v>
  </rv>
  <rv s="0">
    <fb>47.47</fb>
    <v>1</v>
  </rv>
  <rv s="0">
    <fb>6.91</fb>
    <v>2</v>
  </rv>
  <rv s="0">
    <fb>15.012499999999999</fb>
    <v>2</v>
  </rv>
  <rv s="0">
    <fb>52.74</fb>
    <v>1</v>
  </rv>
  <rv s="0">
    <fb>490.8</fb>
    <v>2</v>
  </rv>
  <rv s="0">
    <fb>38683.93</fb>
    <v>3</v>
  </rv>
  <rv s="0">
    <fb>45453</fb>
    <v>0</v>
  </rv>
  <rv s="0">
    <fb>224.9</fb>
    <v>1</v>
  </rv>
  <rv s="0">
    <fb>87.54</fb>
    <v>1</v>
  </rv>
  <rv s="0">
    <fb>45.06</fb>
    <v>1</v>
  </rv>
  <rv s="0">
    <fb>6.68</fb>
    <v>2</v>
  </rv>
  <rv s="0">
    <fb>14.585000000000001</fb>
    <v>2</v>
  </rv>
  <rv s="0">
    <fb>51.38</fb>
    <v>1</v>
  </rv>
  <rv s="0">
    <fb>498.98</fb>
    <v>2</v>
  </rv>
  <rv s="0">
    <fb>38814.559999999998</fb>
    <v>3</v>
  </rv>
  <rv s="0">
    <fb>45460</fb>
    <v>0</v>
  </rv>
  <rv s="0">
    <fb>217.8</fb>
    <v>1</v>
  </rv>
  <rv s="0">
    <fb>89.82</fb>
    <v>1</v>
  </rv>
  <rv s="0">
    <fb>44.05</fb>
    <v>1</v>
  </rv>
  <rv s="0">
    <fb>6.99</fb>
    <v>2</v>
  </rv>
  <rv s="0">
    <fb>15.37</fb>
    <v>2</v>
  </rv>
  <rv s="0">
    <fb>51.17</fb>
    <v>1</v>
  </rv>
  <rv s="0">
    <fb>501.78</fb>
    <v>2</v>
  </rv>
  <rv s="0">
    <fb>38596.47</fb>
    <v>3</v>
  </rv>
  <rv s="0">
    <fb>45467</fb>
    <v>0</v>
  </rv>
  <rv s="0">
    <fb>223</fb>
    <v>1</v>
  </rv>
  <rv s="0">
    <fb>70.989999999999995</fb>
    <v>1</v>
  </rv>
  <rv s="0">
    <fb>42.87</fb>
    <v>1</v>
  </rv>
  <rv s="0">
    <fb>6.67</fb>
    <v>2</v>
  </rv>
  <rv s="0">
    <fb>15.3</fb>
    <v>2</v>
  </rv>
  <rv s="0">
    <fb>50.87</fb>
    <v>1</v>
  </rv>
  <rv s="0">
    <fb>500.13</fb>
    <v>2</v>
  </rv>
  <rv s="0">
    <fb>39583.08</fb>
    <v>3</v>
  </rv>
  <rv s="0">
    <fb>45474</fb>
    <v>0</v>
  </rv>
  <rv s="0">
    <fb>220.3</fb>
    <v>1</v>
  </rv>
  <rv s="0">
    <fb>70.13</fb>
    <v>1</v>
  </rv>
  <rv s="0">
    <fb>43.72</fb>
    <v>1</v>
  </rv>
  <rv s="0">
    <fb>6.4</fb>
    <v>2</v>
  </rv>
  <rv s="0">
    <fb>15.58</fb>
    <v>2</v>
  </rv>
  <rv s="0">
    <fb>51.41</fb>
    <v>1</v>
  </rv>
  <rv s="0">
    <fb>509.84</fb>
    <v>2</v>
  </rv>
  <rv s="0">
    <fb>40912.370000000003</fb>
    <v>3</v>
  </rv>
  <rv s="0">
    <fb>45481</fb>
    <v>0</v>
  </rv>
  <rv s="0">
    <fb>231.2</fb>
    <v>1</v>
  </rv>
  <rv s="0">
    <fb>67.66</fb>
    <v>1</v>
  </rv>
  <rv s="0">
    <fb>44.7</fb>
    <v>1</v>
  </rv>
  <rv s="0">
    <fb>6.87</fb>
    <v>2</v>
  </rv>
  <rv s="0">
    <fb>16.175000000000001</fb>
    <v>2</v>
  </rv>
  <rv s="0">
    <fb>52.16</fb>
    <v>1</v>
  </rv>
  <rv s="0">
    <fb>514.54999999999995</fb>
    <v>2</v>
  </rv>
  <rv s="0">
    <fb>41190.68</fb>
    <v>3</v>
  </rv>
  <rv s="0">
    <fb>45488</fb>
    <v>0</v>
  </rv>
  <rv s="0">
    <fb>227.1</fb>
    <v>1</v>
  </rv>
  <rv s="0">
    <fb>66.34</fb>
    <v>1</v>
  </rv>
  <rv s="0">
    <fb>43.97</fb>
    <v>1</v>
  </rv>
  <rv s="0">
    <fb>6.7</fb>
    <v>2</v>
  </rv>
  <rv s="0">
    <fb>16.72</fb>
    <v>2</v>
  </rv>
  <rv s="0">
    <fb>50.73</fb>
    <v>1</v>
  </rv>
  <rv s="0">
    <fb>504.55</fb>
    <v>2</v>
  </rv>
  <rv s="0">
    <fb>45489</fb>
    <v>0</v>
  </rv>
  <rv s="0">
    <fb>40063.79</fb>
    <v>3</v>
  </rv>
  <rv s="0">
    <fb>45495</fb>
    <v>0</v>
  </rv>
  <rv s="0">
    <fb>233</fb>
    <v>1</v>
  </rv>
  <rv s="0">
    <fb>66.61</fb>
    <v>1</v>
  </rv>
  <rv s="0">
    <fb>45.34</fb>
    <v>1</v>
  </rv>
  <rv s="0">
    <fb>6.89</fb>
    <v>2</v>
  </rv>
  <rv s="0">
    <fb>15.06</fb>
    <v>2</v>
  </rv>
  <rv s="0">
    <fb>51.05</fb>
    <v>1</v>
  </rv>
  <rv s="0">
    <fb>500.33</fb>
    <v>2</v>
  </rv>
  <rv s="0">
    <fb>37667.410000000003</fb>
    <v>3</v>
  </rv>
  <rv s="0">
    <fb>45502</fb>
    <v>0</v>
  </rv>
  <rv s="0">
    <fb>218.7</fb>
    <v>1</v>
  </rv>
  <rv s="0">
    <fb>67.12</fb>
    <v>1</v>
  </rv>
  <rv s="0">
    <fb>43.53</fb>
    <v>1</v>
  </rv>
  <rv s="0">
    <fb>6.5</fb>
    <v>2</v>
  </rv>
  <rv s="0">
    <fb>14.13</fb>
    <v>2</v>
  </rv>
  <rv s="0">
    <fb>49.57</fb>
    <v>1</v>
  </rv>
  <rv s="0">
    <fb>489.91</fb>
    <v>2</v>
  </rv>
  <rv s="0">
    <fb>35909.699999999997</fb>
    <v>3</v>
  </rv>
  <rv s="0">
    <fb>45509</fb>
    <v>0</v>
  </rv>
  <rv s="0">
    <fb>214.6</fb>
    <v>1</v>
  </rv>
  <rv s="0">
    <fb>67.760000000000005</fb>
    <v>1</v>
  </rv>
  <rv s="0">
    <fb>34.909999999999997</fb>
    <v>1</v>
  </rv>
  <rv s="0">
    <fb>7.9</fb>
    <v>2</v>
  </rv>
  <rv s="0">
    <fb>15.1</fb>
    <v>2</v>
  </rv>
  <rv s="0">
    <fb>49.74</fb>
    <v>1</v>
  </rv>
  <rv s="0">
    <fb>489.82</fb>
    <v>2</v>
  </rv>
  <rv s="0">
    <fb>35025</fb>
    <v>3</v>
  </rv>
  <rv s="0">
    <fb>45516</fb>
    <v>0</v>
  </rv>
  <rv s="0">
    <fb>217</fb>
    <v>1</v>
  </rv>
  <rv s="0">
    <fb>76.180000000000007</fb>
    <v>1</v>
  </rv>
  <rv s="0">
    <fb>36.840000000000003</fb>
    <v>1</v>
  </rv>
  <rv s="0">
    <fb>8</fb>
    <v>2</v>
  </rv>
  <rv s="0">
    <fb>17.27</fb>
    <v>2</v>
  </rv>
  <rv s="0">
    <fb>51.01</fb>
    <v>1</v>
  </rv>
  <rv s="0">
    <fb>509.45</fb>
    <v>2</v>
  </rv>
  <rv s="0">
    <fb>45517</fb>
    <v>0</v>
  </rv>
  <rv s="0">
    <fb>38062.67</fb>
    <v>3</v>
  </rv>
  <rv s="0">
    <fb>45523</fb>
    <v>0</v>
  </rv>
  <rv s="0">
    <fb>219.2</fb>
    <v>1</v>
  </rv>
  <rv s="0">
    <fb>74.97</fb>
    <v>1</v>
  </rv>
  <rv s="0">
    <fb>37.49</fb>
    <v>1</v>
  </rv>
  <rv s="0">
    <fb>8.58</fb>
    <v>2</v>
  </rv>
  <rv s="0">
    <fb>18.350000000000001</fb>
    <v>2</v>
  </rv>
  <rv s="0">
    <fb>51.7</fb>
    <v>1</v>
  </rv>
  <rv s="0">
    <fb>516.66</fb>
    <v>2</v>
  </rv>
  <rv s="0">
    <fb>38364.269999999997</fb>
    <v>3</v>
  </rv>
  <rv s="0">
    <fb>45530</fb>
    <v>0</v>
  </rv>
  <rv s="0">
    <fb>232</fb>
    <v>1</v>
  </rv>
  <rv s="0">
    <fb>74.709999999999994</fb>
    <v>1</v>
  </rv>
  <rv s="0">
    <fb>39.090000000000003</fb>
    <v>1</v>
  </rv>
  <rv s="0">
    <fb>7.69</fb>
    <v>2</v>
  </rv>
  <rv s="0">
    <fb>19.850000000000001</fb>
    <v>2</v>
  </rv>
  <rv s="0">
    <fb>52.39</fb>
    <v>1</v>
  </rv>
  <rv s="0">
    <fb>518.04</fb>
    <v>2</v>
  </rv>
  <rv s="0">
    <fb>38647.75</fb>
    <v>3</v>
  </rv>
  <rv s="0">
    <fb>45537</fb>
    <v>0</v>
  </rv>
  <rv s="0">
    <fb>220.7</fb>
    <v>1</v>
  </rv>
  <rv s="0">
    <fb>72.94</fb>
    <v>1</v>
  </rv>
  <rv s="0">
    <fb>38.99</fb>
    <v>1</v>
  </rv>
  <rv s="0">
    <fb>45538</fb>
    <v>0</v>
  </rv>
  <rv s="0">
    <fb>7.79</fb>
    <v>2</v>
  </rv>
  <rv s="0">
    <fb>18.18</fb>
    <v>2</v>
  </rv>
  <rv s="0">
    <fb>50.55</fb>
    <v>1</v>
  </rv>
  <rv s="0">
    <fb>496.64</fb>
    <v>2</v>
  </rv>
  <rv s="0">
    <fb>36391.47</fb>
    <v>3</v>
  </rv>
  <rv s="0">
    <fb>45544</fb>
    <v>0</v>
  </rv>
  <rv s="0">
    <fb>218.5</fb>
    <v>1</v>
  </rv>
  <rv s="0">
    <fb>71.290000000000006</fb>
    <v>1</v>
  </rv>
  <rv s="0">
    <fb>38.299999999999997</fb>
    <v>1</v>
  </rv>
  <rv s="0">
    <fb>7.65</fb>
    <v>2</v>
  </rv>
  <rv s="0">
    <fb>19.329999999999998</fb>
    <v>2</v>
  </rv>
  <rv s="0">
    <fb>51.47</fb>
    <v>1</v>
  </rv>
  <rv s="0">
    <fb>516.57000000000005</fb>
    <v>2</v>
  </rv>
  <rv s="0">
    <fb>36581.760000000002</fb>
    <v>3</v>
  </rv>
  <rv s="0">
    <fb>45551</fb>
    <v>0</v>
  </rv>
  <rv s="0">
    <fb>77.22</fb>
    <v>1</v>
  </rv>
  <rv s="0">
    <fb>35.270000000000003</fb>
    <v>1</v>
  </rv>
  <rv s="0">
    <fb>7.99</fb>
    <v>2</v>
  </rv>
  <rv s="0">
    <fb>20.594999999999999</fb>
    <v>2</v>
  </rv>
  <rv s="0">
    <fb>50.79</fb>
    <v>1</v>
  </rv>
  <rv s="0">
    <fb>523.88</fb>
    <v>2</v>
  </rv>
  <rv s="0">
    <fb>45552</fb>
    <v>0</v>
  </rv>
  <rv s="0">
    <fb>37723.910000000003</fb>
    <v>3</v>
  </rv>
  <rv s="0">
    <fb>45558</fb>
    <v>0</v>
  </rv>
  <rv s="0">
    <fb>240.3</fb>
    <v>1</v>
  </rv>
  <rv s="0">
    <fb>80.56</fb>
    <v>1</v>
  </rv>
  <rv s="0">
    <fb>38.619999999999997</fb>
    <v>1</v>
  </rv>
  <rv s="0">
    <fb>8.94</fb>
    <v>2</v>
  </rv>
  <rv s="0">
    <fb>20.5487</fb>
    <v>2</v>
  </rv>
  <rv s="0">
    <fb>52.23</fb>
    <v>1</v>
  </rv>
  <rv s="0">
    <fb>525.38</fb>
    <v>2</v>
  </rv>
  <rv s="0">
    <fb>45559</fb>
    <v>0</v>
  </rv>
  <rv s="0">
    <fb>39829.56</fb>
    <v>3</v>
  </rv>
  <rv s="0">
    <fb>45565</fb>
    <v>0</v>
  </rv>
  <rv s="0">
    <fb>238.2</fb>
    <v>1</v>
  </rv>
  <rv s="0">
    <fb>75.28</fb>
    <v>1</v>
  </rv>
  <rv s="0">
    <fb>37.11</fb>
    <v>1</v>
  </rv>
  <rv s="0">
    <fb>8.84</fb>
    <v>2</v>
  </rv>
  <rv s="0">
    <fb>19.78</fb>
    <v>2</v>
  </rv>
  <rv s="0">
    <fb>51.26</fb>
    <v>1</v>
  </rv>
  <rv s="0">
    <fb>526.65</fb>
    <v>2</v>
  </rv>
  <rv s="0">
    <fb>38635.620000000003</fb>
    <v>3</v>
  </rv>
  <rv s="0">
    <fb>45572</fb>
    <v>0</v>
  </rv>
  <rv s="0">
    <fb>233.6</fb>
    <v>1</v>
  </rv>
  <rv s="0">
    <fb>74.540000000000006</fb>
    <v>1</v>
  </rv>
  <rv s="0">
    <fb>36.200000000000003</fb>
    <v>1</v>
  </rv>
  <rv s="0">
    <fb>8.31</fb>
    <v>2</v>
  </rv>
  <rv s="0">
    <fb>18.95</fb>
    <v>2</v>
  </rv>
  <rv s="0">
    <fb>51.62</fb>
    <v>1</v>
  </rv>
  <rv s="0">
    <fb>532.71</fb>
    <v>2</v>
  </rv>
  <rv s="0">
    <fb>39605.800000000003</fb>
    <v>3</v>
  </rv>
  <rv s="0">
    <fb>45579</fb>
    <v>0</v>
  </rv>
  <rv s="0">
    <fb>227.9</fb>
    <v>1</v>
  </rv>
  <rv s="0">
    <fb>76.34</fb>
    <v>1</v>
  </rv>
  <rv s="0">
    <fb>39.369999999999997</fb>
    <v>1</v>
  </rv>
  <rv s="0">
    <fb>9.36</fb>
    <v>2</v>
  </rv>
  <rv s="0">
    <fb>18.616</fb>
    <v>2</v>
  </rv>
  <rv s="0">
    <fb>51.93</fb>
    <v>1</v>
  </rv>
  <rv s="0">
    <fb>537.36</fb>
    <v>2</v>
  </rv>
  <rv s="0">
    <fb>45580</fb>
    <v>0</v>
  </rv>
  <rv s="0">
    <fb>38981.75</fb>
    <v>3</v>
  </rv>
  <rv s="0">
    <fb>45586</fb>
    <v>0</v>
  </rv>
  <rv s="0">
    <fb>73.05</fb>
    <v>1</v>
  </rv>
  <rv s="0">
    <fb>42.54</fb>
    <v>1</v>
  </rv>
  <rv s="0">
    <fb>8.6300000000000008</fb>
    <v>2</v>
  </rv>
  <rv s="0">
    <fb>17.36</fb>
    <v>2</v>
  </rv>
  <rv s="0">
    <fb>51.34</fb>
    <v>1</v>
  </rv>
  <rv s="0">
    <fb>532.26</fb>
    <v>2</v>
  </rv>
  <rv s="0">
    <fb>37913.919999999998</fb>
    <v>3</v>
  </rv>
  <rv s="0">
    <fb>45593</fb>
    <v>0</v>
  </rv>
  <rv s="0">
    <fb>222.1</fb>
    <v>1</v>
  </rv>
  <rv s="0">
    <fb>71.540000000000006</fb>
    <v>1</v>
  </rv>
  <rv s="0">
    <fb>43.08</fb>
    <v>1</v>
  </rv>
  <rv s="0">
    <fb>8.52</fb>
    <v>2</v>
  </rv>
  <rv s="0">
    <fb>17.329999999999998</fb>
    <v>2</v>
  </rv>
  <rv s="0">
    <fb>50.57</fb>
    <v>1</v>
  </rv>
  <rv s="0">
    <fb>524.94000000000005</fb>
    <v>2</v>
  </rv>
  <rv s="0">
    <fb>38053.67</fb>
    <v>3</v>
  </rv>
  <rv s="0">
    <fb>45600</fb>
    <v>0</v>
  </rv>
  <rv s="0">
    <fb>219</fb>
    <v>1</v>
  </rv>
  <rv s="0">
    <fb>71.14</fb>
    <v>1</v>
  </rv>
  <rv s="0">
    <fb>45.74</fb>
    <v>1</v>
  </rv>
  <rv s="0">
    <fb>9.68</fb>
    <v>2</v>
  </rv>
  <rv s="0">
    <fb>16.93</fb>
    <v>2</v>
  </rv>
  <rv s="0">
    <fb>50.16</fb>
    <v>1</v>
  </rv>
  <rv s="0">
    <fb>549.95000000000005</fb>
    <v>2</v>
  </rv>
  <rv s="0">
    <fb>39500.370000000003</fb>
    <v>3</v>
  </rv>
  <rv s="0">
    <fb>45607</fb>
    <v>0</v>
  </rv>
  <rv s="0">
    <fb>215</fb>
    <v>1</v>
  </rv>
  <rv s="0">
    <fb>72.63</fb>
    <v>1</v>
  </rv>
  <rv s="0">
    <fb>46.54</fb>
    <v>1</v>
  </rv>
  <rv s="0">
    <fb>9.94</fb>
    <v>2</v>
  </rv>
  <rv s="0">
    <fb>17.34</fb>
    <v>2</v>
  </rv>
  <rv s="0">
    <fb>49.8</fb>
    <v>1</v>
  </rv>
  <rv s="0">
    <fb>538.5</fb>
    <v>2</v>
  </rv>
  <rv s="0">
    <fb>38642.910000000003</fb>
    <v>3</v>
  </rv>
  <rv s="0">
    <fb>45614</fb>
    <v>0</v>
  </rv>
  <rv s="0">
    <fb>214.4</fb>
    <v>1</v>
  </rv>
  <rv s="0">
    <fb>73.92</fb>
    <v>1</v>
  </rv>
  <rv s="0">
    <fb>43.83</fb>
    <v>1</v>
  </rv>
  <rv s="0">
    <fb>9.52</fb>
    <v>2</v>
  </rv>
  <rv s="0">
    <fb>18.57</fb>
    <v>2</v>
  </rv>
  <rv s="0">
    <fb>50.41</fb>
    <v>1</v>
  </rv>
  <rv s="0">
    <fb>547.47</fb>
    <v>2</v>
  </rv>
  <rv s="0">
    <fb>38283.85</fb>
    <v>3</v>
  </rv>
  <rv s="0">
    <fb>45621</fb>
    <v>0</v>
  </rv>
  <rv s="0">
    <fb>223.1</fb>
    <v>1</v>
  </rv>
  <rv s="0">
    <fb>75.05</fb>
    <v>1</v>
  </rv>
  <rv s="0">
    <fb>44.3</fb>
    <v>1</v>
  </rv>
  <rv s="0">
    <fb>9.7100000000000009</fb>
    <v>2</v>
  </rv>
  <rv s="0">
    <fb>20.36</fb>
    <v>2</v>
  </rv>
  <rv s="0">
    <fb>50.56</fb>
    <v>1</v>
  </rv>
  <rv s="0">
    <fb>553.45000000000005</fb>
    <v>2</v>
  </rv>
  <rv s="0">
    <fb>38208.03</fb>
    <v>3</v>
  </rv>
  <rv s="0">
    <fb>45628</fb>
    <v>0</v>
  </rv>
  <rv s="0">
    <fb>241.6</fb>
    <v>1</v>
  </rv>
  <rv s="0">
    <fb>76.489999999999995</fb>
    <v>1</v>
  </rv>
  <rv s="0">
    <fb>46.53</fb>
    <v>1</v>
  </rv>
  <rv s="0">
    <fb>10.119999999999999</fb>
    <v>2</v>
  </rv>
  <rv s="0">
    <fb>20.7</fb>
    <v>2</v>
  </rv>
  <rv s="0">
    <fb>51.6</fb>
    <v>1</v>
  </rv>
  <rv s="0">
    <fb>558.82000000000005</fb>
    <v>2</v>
  </rv>
  <rv s="0">
    <fb>39091.17</fb>
    <v>3</v>
  </rv>
  <rv s="0">
    <fb>45635</fb>
    <v>0</v>
  </rv>
  <rv s="0">
    <fb>240</fb>
    <v>1</v>
  </rv>
  <rv s="0">
    <fb>73.819999999999993</fb>
    <v>1</v>
  </rv>
  <rv s="0">
    <fb>45.75</fb>
    <v>1</v>
  </rv>
  <rv s="0">
    <fb>8.81</fb>
    <v>2</v>
  </rv>
  <rv s="0">
    <fb>19.91</fb>
    <v>2</v>
  </rv>
  <rv s="0">
    <fb>555.61</fb>
    <v>2</v>
  </rv>
  <rv s="0">
    <fb>39470.44</fb>
    <v>3</v>
  </rv>
  <rv s="0">
    <fb>45642</fb>
    <v>0</v>
  </rv>
  <rv s="0">
    <fb>236.4</fb>
    <v>1</v>
  </rv>
  <rv s="0">
    <fb>73.47</fb>
    <v>1</v>
  </rv>
  <rv s="0">
    <fb>45.53</fb>
    <v>1</v>
  </rv>
  <rv s="0">
    <fb>8.6199999999999992</fb>
    <v>2</v>
  </rv>
  <rv s="0">
    <fb>19.79</fb>
    <v>2</v>
  </rv>
  <rv s="0">
    <fb>49.72</fb>
    <v>1</v>
  </rv>
  <rv s="0">
    <fb>545.04</fb>
    <v>2</v>
  </rv>
  <rv s="0">
    <fb>38701.9</fb>
    <v>3</v>
  </rv>
  <rv s="0">
    <fb>45649</fb>
    <v>0</v>
  </rv>
  <rv s="0">
    <fb>236</fb>
    <v>1</v>
  </rv>
  <rv s="0">
    <fb>73.209999999999994</fb>
    <v>1</v>
  </rv>
  <rv s="0">
    <fb>45.05</fb>
    <v>1</v>
  </rv>
  <rv s="0">
    <fb>8.3800000000000008</fb>
    <v>2</v>
  </rv>
  <rv s="0">
    <fb>19.97</fb>
    <v>2</v>
  </rv>
  <rv s="0">
    <fb>547.08000000000004</fb>
    <v>2</v>
  </rv>
  <rv s="0">
    <fb>40281.160000000003</fb>
    <v>3</v>
  </rv>
  <rv s="0">
    <fb>45656</fb>
    <v>0</v>
  </rv>
  <rv s="0">
    <fb>43.5</fb>
    <v>1</v>
  </rv>
  <rv s="0">
    <fb>8.36</fb>
    <v>2</v>
  </rv>
  <rv s="0">
    <fb>19.55</fb>
    <v>2</v>
  </rv>
  <rv s="0">
    <fb>50.27</fb>
    <v>1</v>
  </rv>
  <rv s="0">
    <fb>544.4</fb>
    <v>2</v>
  </rv>
  <rv s="0">
    <fb>39894.54</fb>
    <v>3</v>
  </rv>
  <rv s="0">
    <fb>45663</fb>
    <v>0</v>
  </rv>
  <rv s="0">
    <fb>243.8</fb>
    <v>1</v>
  </rv>
  <rv s="0">
    <fb>70.12</fb>
    <v>1</v>
  </rv>
  <rv s="0">
    <fb>42.71</fb>
    <v>1</v>
  </rv>
  <rv s="0">
    <fb>8.2100000000000009</fb>
    <v>2</v>
  </rv>
  <rv s="0">
    <fb>20.420000000000002</fb>
    <v>2</v>
  </rv>
  <rv s="0">
    <fb>533.89</fb>
    <v>2</v>
  </rv>
  <rv s="0">
    <fb>39190.400000000001</fb>
    <v>3</v>
  </rv>
  <rv s="0">
    <fb>45670</fb>
    <v>0</v>
  </rv>
  <rv s="0">
    <fb>241.7</fb>
    <v>1</v>
  </rv>
  <rv s="0">
    <fb>69.260000000000005</fb>
    <v>1</v>
  </rv>
  <rv s="0">
    <fb>40.479999999999997</fb>
    <v>1</v>
  </rv>
  <rv s="0">
    <fb>8.1999999999999993</fb>
    <v>2</v>
  </rv>
  <rv s="0">
    <fb>21.38</fb>
    <v>2</v>
  </rv>
  <rv s="0">
    <fb>51.76</fb>
    <v>1</v>
  </rv>
  <rv s="0">
    <fb>549.46</fb>
    <v>2</v>
  </rv>
  <rv s="0">
    <fb>45671</fb>
    <v>0</v>
  </rv>
  <rv s="0">
    <fb>38451.46</fb>
    <v>3</v>
  </rv>
  <rv s="0">
    <fb>45677</fb>
    <v>0</v>
  </rv>
  <rv s="0">
    <fb>254.5</fb>
    <v>1</v>
  </rv>
  <rv s="0">
    <fb>70.290000000000006</fb>
    <v>1</v>
  </rv>
  <rv s="0">
    <fb>32.049999999999997</fb>
    <v>1</v>
  </rv>
  <rv s="0">
    <fb>45678</fb>
    <v>0</v>
  </rv>
  <rv s="0">
    <fb>8.42</fb>
    <v>2</v>
  </rv>
  <rv s="0">
    <fb>22.86</fb>
    <v>2</v>
  </rv>
  <rv s="0">
    <fb>52.42</fb>
    <v>1</v>
  </rv>
  <rv s="0">
    <fb>559.01</fb>
    <v>2</v>
  </rv>
  <rv s="0">
    <fb>39931.980000000003</fb>
    <v>3</v>
  </rv>
  <rv s="0">
    <fb>45684</fb>
    <v>0</v>
  </rv>
  <rv s="0">
    <fb>254.9</fb>
    <v>1</v>
  </rv>
  <rv s="0">
    <fb>75</fb>
    <v>1</v>
  </rv>
  <rv s="0">
    <fb>30.41</fb>
    <v>1</v>
  </rv>
  <rv s="0">
    <fb>8.35</fb>
    <v>2</v>
  </rv>
  <rv s="0">
    <fb>22.2</fb>
    <v>2</v>
  </rv>
  <rv s="0">
    <fb>53.41</fb>
    <v>1</v>
  </rv>
  <rv s="0">
    <fb>553.33000000000004</fb>
    <v>2</v>
  </rv>
  <rv s="0">
    <fb>39572.49</fb>
    <v>3</v>
  </rv>
  <rv s="0">
    <fb>45691</fb>
    <v>0</v>
  </rv>
  <rv s="0">
    <fb>253.6</fb>
    <v>1</v>
  </rv>
  <rv s="0">
    <fb>67.91</fb>
    <v>1</v>
  </rv>
  <rv s="0">
    <fb>28.32</fb>
    <v>1</v>
  </rv>
  <rv s="0">
    <fb>7.3</fb>
    <v>2</v>
  </rv>
  <rv s="0">
    <fb>21.391999999999999</fb>
    <v>2</v>
  </rv>
  <rv s="0">
    <fb>53.73</fb>
    <v>1</v>
  </rv>
  <rv s="0">
    <fb>552.20000000000005</fb>
    <v>2</v>
  </rv>
  <rv s="0">
    <fb>38787.019999999997</fb>
    <v>3</v>
  </rv>
  <rv s="0">
    <fb>45698</fb>
    <v>0</v>
  </rv>
  <rv s="0">
    <fb>258.8</fb>
    <v>1</v>
  </rv>
  <rv s="0">
    <fb>69.58</fb>
    <v>1</v>
  </rv>
  <rv s="0">
    <fb>29.86</fb>
    <v>1</v>
  </rv>
  <rv s="0">
    <fb>7.1</fb>
    <v>2</v>
  </rv>
  <rv s="0">
    <fb>23.5</fb>
    <v>2</v>
  </rv>
  <rv s="0">
    <fb>54.73</fb>
    <v>1</v>
  </rv>
  <rv s="0">
    <fb>560.69000000000005</fb>
    <v>2</v>
  </rv>
  <rv s="0">
    <fb>39149.43</fb>
    <v>3</v>
  </rv>
  <rv s="0">
    <fb>45705</fb>
    <v>0</v>
  </rv>
  <rv s="0">
    <fb>245.9</fb>
    <v>1</v>
  </rv>
  <rv s="0">
    <fb>73.680000000000007</fb>
    <v>1</v>
  </rv>
  <rv s="0">
    <fb>28.51</fb>
    <v>1</v>
  </rv>
  <rv s="0">
    <fb>45706</fb>
    <v>0</v>
  </rv>
  <rv s="0">
    <fb>7.09</fb>
    <v>2</v>
  </rv>
  <rv s="0">
    <fb>23.2</fb>
    <v>2</v>
  </rv>
  <rv s="0">
    <fb>54.91</fb>
    <v>1</v>
  </rv>
  <rv s="0">
    <fb>551.75</fb>
    <v>2</v>
  </rv>
  <rv s="0">
    <fb>38776.94</fb>
    <v>3</v>
  </rv>
  <rv s="0">
    <fb>45712</fb>
    <v>0</v>
  </rv>
  <rv s="0">
    <fb>246.2</fb>
    <v>1</v>
  </rv>
  <rv s="0">
    <fb>75.959999999999994</fb>
    <v>1</v>
  </rv>
  <rv s="0">
    <fb>28.83</fb>
    <v>1</v>
  </rv>
  <rv s="0">
    <fb>6.81</fb>
    <v>2</v>
  </rv>
  <rv s="0">
    <fb>22.3</fb>
    <v>2</v>
  </rv>
  <rv s="0">
    <fb>55.27</fb>
    <v>1</v>
  </rv>
  <rv s="0">
    <fb>546.33000000000004</fb>
    <v>2</v>
  </rv>
  <rv s="0">
    <fb>45713</fb>
    <v>0</v>
  </rv>
  <rv s="0">
    <fb>37155.5</fb>
    <v>3</v>
  </rv>
  <rv s="0">
    <fb>45719</fb>
    <v>0</v>
  </rv>
  <rv s="0">
    <fb>71.2</fb>
    <v>1</v>
  </rv>
  <rv s="0">
    <fb>29.21</fb>
    <v>1</v>
  </rv>
  <rv s="0">
    <fb>7.08</fb>
    <v>2</v>
  </rv>
  <rv s="0">
    <fb>21.87</fb>
    <v>2</v>
  </rv>
  <rv s="0">
    <fb>54.92</fb>
    <v>1</v>
  </rv>
  <rv s="0">
    <fb>529.51</fb>
    <v>2</v>
  </rv>
  <rv s="0">
    <fb>36887.17</fb>
    <v>3</v>
  </rv>
  <rv s="0">
    <fb>45726</fb>
    <v>0</v>
  </rv>
  <rv s="0">
    <fb>66</fb>
    <v>1</v>
  </rv>
  <rv s="0">
    <fb>22.26</fb>
    <v>1</v>
  </rv>
  <rv s="0">
    <fb>21.82</fb>
    <v>2</v>
  </rv>
  <rv s="0">
    <fb>54.3</fb>
    <v>1</v>
  </rv>
  <rv s="0">
    <fb>517.46</fb>
    <v>2</v>
  </rv>
  <rv s="0">
    <fb>37053.1</fb>
    <v>3</v>
  </rv>
  <rv s="0">
    <fb>45733</fb>
    <v>0</v>
  </rv>
  <rv s="0">
    <fb>224.1</fb>
    <v>1</v>
  </rv>
  <rv s="0">
    <fb>62.9</fb>
    <v>1</v>
  </rv>
  <rv s="0">
    <fb>23.79</fb>
    <v>1</v>
  </rv>
  <rv s="0">
    <fb>6.42</fb>
    <v>2</v>
  </rv>
  <rv s="0">
    <fb>21.29</fb>
    <v>2</v>
  </rv>
  <rv s="0">
    <fb>54.39</fb>
    <v>1</v>
  </rv>
  <rv s="0">
    <fb>520.26</fb>
    <v>2</v>
  </rv>
  <rv s="0">
    <fb>37677.06</fb>
    <v>3</v>
  </rv>
  <rv s="0">
    <fb>45740</fb>
    <v>0</v>
  </rv>
  <rv s="0">
    <fb>221.9</fb>
    <v>1</v>
  </rv>
  <rv s="0">
    <fb>58.8</fb>
    <v>1</v>
  </rv>
  <rv s="0">
    <fb>22.63</fb>
    <v>1</v>
  </rv>
  <rv s="0">
    <fb>6.3</fb>
    <v>2</v>
  </rv>
  <rv s="0">
    <fb>20.762</fb>
    <v>2</v>
  </rv>
  <rv s="0">
    <fb>53.75</fb>
    <v>1</v>
  </rv>
  <rv s="0">
    <fb>510.8</fb>
    <v>2</v>
  </rv>
  <rv s="0">
    <fb>37120.33</fb>
    <v>3</v>
  </rv>
  <rv s="0">
    <fb>45747</fb>
    <v>0</v>
  </rv>
  <rv s="0">
    <fb>196.15</fb>
    <v>1</v>
  </rv>
  <rv s="0">
    <fb>52.53</fb>
    <v>1</v>
  </rv>
  <rv s="0">
    <fb>20.170000000000002</fb>
    <v>1</v>
  </rv>
  <rv s="0">
    <fb>5.26</fb>
    <v>2</v>
  </rv>
  <rv s="0">
    <fb>17.79</fb>
    <v>2</v>
  </rv>
  <rv s="0">
    <fb>49.104999999999997</fb>
    <v>1</v>
  </rv>
  <rv s="0">
    <fb>465.52</fb>
    <v>2</v>
  </rv>
  <rv s="0">
    <fb>33780.58</fb>
    <v>3</v>
  </rv>
  <rv s="0">
    <fb>45754</fb>
    <v>0</v>
  </rv>
  <rv s="0">
    <fb>195.85</fb>
    <v>1</v>
  </rv>
  <rv s="0">
    <fb>47.02</fb>
    <v>1</v>
  </rv>
  <rv s="0">
    <fb>19.02</fb>
    <v>1</v>
  </rv>
  <rv s="0">
    <fb>5.19</fb>
    <v>2</v>
  </rv>
  <rv s="0">
    <fb>20.61</fb>
    <v>2</v>
  </rv>
  <rv s="0">
    <fb>48.42</fb>
    <v>1</v>
  </rv>
  <rv s="0">
    <fb>490.55</fb>
    <v>2</v>
  </rv>
  <rv s="0">
    <fb>33585.58</fb>
    <v>3</v>
  </rv>
  <rv s="0">
    <fb>45761</fb>
    <v>0</v>
  </rv>
  <rv s="0">
    <fb>198.65</fb>
    <v>1</v>
  </rv>
  <rv s="0">
    <fb>47.8</fb>
    <v>1</v>
  </rv>
  <rv s="0">
    <fb>20.62</fb>
    <v>1</v>
  </rv>
  <rv s="0">
    <fb>5.83</fb>
    <v>2</v>
  </rv>
  <rv s="0">
    <fb>20.045500000000001</fb>
    <v>2</v>
  </rv>
  <rv s="0">
    <fb>50.31</fb>
    <v>1</v>
  </rv>
  <rv s="0">
    <fb>483.9</fb>
    <v>2</v>
  </rv>
  <rv s="0">
    <fb>34730.28</fb>
    <v>3</v>
  </rv>
  <rv s="0">
    <fb>45769</fb>
    <v>0</v>
  </rv>
  <rv s="0">
    <fb>50.5</fb>
    <v>1</v>
  </rv>
  <rv s="0">
    <fb>22.73</fb>
    <v>1</v>
  </rv>
  <rv s="0">
    <fb>45768</fb>
    <v>0</v>
  </rv>
  <rv s="0">
    <fb>5.71</fb>
    <v>2</v>
  </rv>
  <rv s="0">
    <fb>21.69</fb>
    <v>2</v>
  </rv>
  <rv s="0">
    <fb>51.94</fb>
    <v>1</v>
  </rv>
  <rv s="0">
    <fb>506.11</fb>
    <v>2</v>
  </rv>
  <rv s="0">
    <fb>35705.74</fb>
    <v>3</v>
  </rv>
  <rv s="0">
    <fb>45775</fb>
    <v>0</v>
  </rv>
  <rv s="0">
    <fb>206.7</fb>
    <v>1</v>
  </rv>
  <rv s="0">
    <fb>50.83</fb>
    <v>1</v>
  </rv>
  <rv s="0">
    <fb>23.05</fb>
    <v>1</v>
  </rv>
  <rv s="0">
    <fb>5.99</fb>
    <v>2</v>
  </rv>
  <rv s="0">
    <fb>22.32</fb>
    <v>2</v>
  </rv>
  <rv s="0">
    <fb>53.6</fb>
    <v>1</v>
  </rv>
  <rv s="0">
    <fb>520.71</fb>
    <v>2</v>
  </rv>
  <rv s="0">
    <fb>36830.69</fb>
    <v>3</v>
  </rv>
  <rv s="0">
    <fb>45782</fb>
    <v>0</v>
  </rv>
  <rv s="0">
    <fb>209</fb>
    <v>1</v>
  </rv>
  <rv s="0">
    <fb>52.15</fb>
    <v>1</v>
  </rv>
  <rv s="0">
    <fb>22.57</fb>
    <v>1</v>
  </rv>
  <rv s="0">
    <fb>5.84</fb>
    <v>2</v>
  </rv>
  <rv s="0">
    <fb>22.81</fb>
    <v>2</v>
  </rv>
  <rv s="0">
    <fb>53.9</fb>
    <v>1</v>
  </rv>
  <rv s="0">
    <fb>518.65</fb>
    <v>2</v>
  </rv>
  <rv s="0">
    <fb>45784</fb>
    <v>0</v>
  </rv>
  <rv s="0">
    <fb>37503.33</fb>
    <v>3</v>
  </rv>
  <rv s="0">
    <fb>45789</fb>
    <v>0</v>
  </rv>
  <rv s="0">
    <fb>219.1</fb>
    <v>1</v>
  </rv>
  <rv s="0">
    <fb>56.91</fb>
    <v>1</v>
  </rv>
  <rv s="0">
    <fb>23.34</fb>
    <v>1</v>
  </rv>
  <rv s="0">
    <fb>22.6</fb>
    <v>2</v>
  </rv>
  <rv s="0">
    <fb>55.17</fb>
    <v>1</v>
  </rv>
  <rv s="0">
    <fb>546.26</fb>
    <v>2</v>
  </rv>
  <rv s="0">
    <fb>37753.72</fb>
    <v>3</v>
  </rv>
  <rv s="0">
    <fb>45796</fb>
    <v>0</v>
  </rv>
  <rv s="0">
    <fb>214</fb>
    <v>1</v>
  </rv>
  <rv s="0">
    <fb>52.94</fb>
    <v>1</v>
  </rv>
  <rv s="0">
    <fb>22.03</fb>
    <v>1</v>
  </rv>
  <rv s="0">
    <fb>6.69</fb>
    <v>2</v>
  </rv>
  <rv s="0">
    <fb>23.911999999999999</fb>
    <v>2</v>
  </rv>
  <rv s="0">
    <fb>54.89</fb>
    <v>1</v>
  </rv>
  <rv s="0">
    <fb>532.4</fb>
    <v>2</v>
  </rv>
  <rv s="0">
    <fb>37160.47</fb>
    <v>3</v>
  </rv>
  <rv s="0">
    <fb>45803</fb>
    <v>0</v>
  </rv>
  <rv s="0">
    <fb>219.5</fb>
    <v>1</v>
  </rv>
  <rv s="0">
    <fb>53.59</fb>
    <v>1</v>
  </rv>
  <rv s="0">
    <fb>22.8</fb>
    <v>1</v>
  </rv>
  <rv s="0">
    <fb>45804</fb>
    <v>0</v>
  </rv>
  <rv s="0">
    <fb>24.04</fb>
    <v>2</v>
  </rv>
  <rv s="0">
    <fb>55.33</fb>
    <v>1</v>
  </rv>
  <rv s="0">
    <fb>541.76</fb>
    <v>2</v>
  </rv>
  <rv s="0">
    <fb>37965.1</fb>
    <v>3</v>
  </rv>
  <rv s="0">
    <fb>45810</fb>
    <v>0</v>
  </rv>
  <rv s="0">
    <fb>211.4</fb>
    <v>1</v>
  </rv>
  <rv s="0">
    <fb>54.95</fb>
    <v>1</v>
  </rv>
  <rv s="0">
    <fb>21.66</fb>
    <v>1</v>
  </rv>
  <rv s="0">
    <fb>24.175000000000001</fb>
    <v>2</v>
  </rv>
  <rv s="0">
    <fb>55.81</fb>
    <v>1</v>
  </rv>
  <rv s="0">
    <fb>550.66</fb>
    <v>2</v>
  </rv>
  <rv s="0">
    <fb>37741.61</fb>
    <v>3</v>
  </rv>
  <rv s="0">
    <fb>45817</fb>
    <v>0</v>
  </rv>
  <rv s="0">
    <fb>200</fb>
    <v>1</v>
  </rv>
  <rv s="0">
    <fb>53.68</fb>
    <v>1</v>
  </rv>
  <rv s="0">
    <fb>21.12</fb>
    <v>1</v>
  </rv>
  <rv s="0">
    <fb>6.6</fb>
    <v>2</v>
  </rv>
  <rv s="0">
    <fb>23.63</fb>
    <v>2</v>
  </rv>
  <rv s="0">
    <fb>548.77</fb>
    <v>2</v>
  </rv>
  <rv s="0">
    <fb>37834.25</fb>
    <v>3</v>
  </rv>
  <rv s="0">
    <fb>45824</fb>
    <v>0</v>
  </rv>
  <rv s="0">
    <fb>195.4</fb>
    <v>1</v>
  </rv>
  <rv s="0">
    <fb>51.65</fb>
    <v>1</v>
  </rv>
  <rv s="0">
    <fb>21.41</fb>
    <v>1</v>
  </rv>
  <rv s="0">
    <fb>7.03</fb>
    <v>2</v>
  </rv>
  <rv s="0">
    <fb>22.5</fb>
    <v>2</v>
  </rv>
  <rv s="0">
    <fb>53.53</fb>
    <v>1</v>
  </rv>
  <rv s="0">
    <fb>547.72</fb>
    <v>2</v>
  </rv>
  <rv s="0">
    <fb>38403.230000000003</fb>
    <v>3</v>
  </rv>
  <rv s="0">
    <fb>45831</fb>
    <v>0</v>
  </rv>
  <rv s="0">
    <fb>199.6</fb>
    <v>1</v>
  </rv>
  <rv s="0">
    <fb>61.84</fb>
    <v>1</v>
  </rv>
  <rv s="0">
    <fb>22.77</fb>
    <v>1</v>
  </rv>
  <rv s="0">
    <fb>25.61</fb>
    <v>2</v>
  </rv>
  <rv s="0">
    <fb>54.23</fb>
    <v>1</v>
  </rv>
  <rv s="0">
    <fb>566.95000000000005</fb>
    <v>2</v>
  </rv>
  <rv s="0">
    <fb>40150.79</fb>
    <v>3</v>
  </rv>
  <rv s="0">
    <fb>45838</fb>
    <v>0</v>
  </rv>
  <rv s="0">
    <fb>205.3</fb>
    <v>1</v>
  </rv>
  <rv s="0">
    <fb>64.5</fb>
    <v>1</v>
  </rv>
  <rv s="0">
    <fb>23.17</fb>
    <v>1</v>
  </rv>
  <rv s="0">
    <fb>7.11</fb>
    <v>2</v>
  </rv>
  <rv s="0">
    <fb>24.99</fb>
    <v>2</v>
  </rv>
  <rv s="0">
    <fb>54</fb>
    <v>1</v>
  </rv>
  <rv s="0">
    <fb>575.22</fb>
    <v>2</v>
  </rv>
  <rv s="0">
    <fb>39810.879999999997</fb>
    <v>3</v>
  </rv>
  <rv s="0">
    <fb>45845</fb>
    <v>0</v>
  </rv>
  <rv s="0">
    <fb>208.2</fb>
    <v>1</v>
  </rv>
  <rv s="0">
    <fb>62.06</fb>
    <v>1</v>
  </rv>
  <rv s="0">
    <fb>22.79</fb>
    <v>1</v>
  </rv>
  <rv s="0">
    <fb>6.85</fb>
    <v>2</v>
  </rv>
  <rv s="0">
    <fb>24.7</fb>
    <v>2</v>
  </rv>
  <rv s="0">
    <fb>54.6</fb>
    <v>1</v>
  </rv>
  <rv s="0">
    <fb>573.22</fb>
    <v>2</v>
  </rv>
  <rv s="0">
    <fb>39569.68</fb>
    <v>3</v>
  </rv>
  <rv s="0">
    <fb>45852</fb>
    <v>0</v>
  </rv>
  <rv s="0">
    <fb>205.8</fb>
    <v>1</v>
  </rv>
  <rv s="0">
    <fb>62.07</fb>
    <v>1</v>
  </rv>
  <rv s="0">
    <fb>21.91</fb>
    <v>1</v>
  </rv>
  <rv s="0">
    <fb>6.86</fb>
    <v>2</v>
  </rv>
  <rv s="0">
    <fb>24.2</fb>
    <v>2</v>
  </rv>
  <rv s="0">
    <fb>54.58</fb>
    <v>1</v>
  </rv>
  <rv s="0">
    <fb>576.91999999999996</fb>
    <v>2</v>
  </rv>
  <rv s="0">
    <fb>39819.11</fb>
    <v>3</v>
  </rv>
  <rv s="0">
    <fb>45859</fb>
    <v>0</v>
  </rv>
  <rv s="0">
    <fb>198.95</fb>
    <v>1</v>
  </rv>
  <rv s="0">
    <fb>20.7</fb>
    <v>1</v>
  </rv>
  <rv s="0">
    <fb>7.36</fb>
    <v>2</v>
  </rv>
  <rv s="0">
    <fb>25.28</fb>
    <v>2</v>
  </rv>
  <rv s="0">
    <fb>585.58000000000004</fb>
    <v>2</v>
  </rv>
  <rv s="0">
    <fb>45860</fb>
    <v>0</v>
  </rv>
  <rv s="0">
    <fb>41456.230000000003</fb>
    <v>3</v>
  </rv>
  <rv s="0">
    <fb>45866</fb>
    <v>0</v>
  </rv>
  <rv s="0">
    <fb>167.25</fb>
    <v>1</v>
  </rv>
  <rv s="0">
    <fb>63.56</fb>
    <v>1</v>
  </rv>
  <rv s="0">
    <fb>18.3</fb>
    <v>1</v>
  </rv>
  <rv s="0">
    <fb>6.57</fb>
    <v>2</v>
  </rv>
  <rv s="0">
    <fb>23.79</fb>
    <v>2</v>
  </rv>
  <rv s="0">
    <fb>53.23</fb>
    <v>1</v>
  </rv>
  <rv s="0">
    <fb>571.45000000000005</fb>
    <v>2</v>
  </rv>
  <rv s="0">
    <fb>40799.599999999999</fb>
    <v>3</v>
  </rv>
  <rv s="0">
    <fb>45873</fb>
    <v>0</v>
  </rv>
  <rv s="0">
    <fb>167.5</fb>
    <v>1</v>
  </rv>
  <rv s="0">
    <fb>63.13</fb>
    <v>1</v>
  </rv>
  <rv s="0">
    <fb>18.094999999999999</fb>
    <v>1</v>
  </rv>
  <rv s="0">
    <fb>5.44</fb>
    <v>2</v>
  </rv>
  <rv s="0">
    <fb>23.62</fb>
    <v>2</v>
  </rv>
  <rv s="0">
    <fb>54.67</fb>
    <v>1</v>
  </rv>
  <rv s="0">
    <fb>585.74</fb>
    <v>2</v>
  </rv>
  <rv s="0">
    <fb>41820.480000000003</fb>
    <v>3</v>
  </rv>
  <rv s="0">
    <fb>45880</fb>
    <v>0</v>
  </rv>
  <rv s="0">
    <fb>166.2</fb>
    <v>1</v>
  </rv>
  <rv s="0">
    <fb>65.239999999999995</fb>
    <v>1</v>
  </rv>
  <rv s="0">
    <fb>17.16</fb>
    <v>1</v>
  </rv>
  <rv s="0">
    <fb>5.17</fb>
    <v>2</v>
  </rv>
  <rv s="0">
    <fb>28.82</fb>
    <v>2</v>
  </rv>
  <rv s="0">
    <fb>55.41</fb>
    <v>1</v>
  </rv>
  <rv s="0">
    <fb>591.57000000000005</fb>
    <v>2</v>
  </rv>
  <rv s="0">
    <fb>45881</fb>
    <v>0</v>
  </rv>
  <rv s="0">
    <fb>43378.31</fb>
    <v>3</v>
  </rv>
  <rv s="0">
    <fb>45887</fb>
    <v>0</v>
  </rv>
  <rv s="0">
    <fb>171.45</fb>
    <v>1</v>
  </rv>
  <rv s="0">
    <fb>67.03</fb>
    <v>1</v>
  </rv>
  <rv s="0">
    <fb>18.739999999999998</fb>
    <v>1</v>
  </rv>
  <rv s="0">
    <fb>5.14</fb>
    <v>2</v>
  </rv>
  <rv s="0">
    <fb>28.57</fb>
    <v>2</v>
  </rv>
  <rv s="0">
    <fb>56.16</fb>
    <v>1</v>
  </rv>
  <rv s="0">
    <fb>593.21</fb>
    <v>2</v>
  </rv>
  <rv s="0">
    <fb>42633.29</fb>
    <v>3</v>
  </rv>
  <rv s="0">
    <fb>45894</fb>
    <v>0</v>
  </rv>
  <rv s="0">
    <fb>166.35</fb>
    <v>1</v>
  </rv>
  <rv s="0">
    <fb>66.44</fb>
    <v>1</v>
  </rv>
  <rv s="0">
    <fb>21.49</fb>
    <v>1</v>
  </rv>
  <rv s="0">
    <fb>5</fb>
    <v>2</v>
  </rv>
  <rv s="0">
    <fb>26.92</fb>
    <v>2</v>
  </rv>
  <rv s="0">
    <fb>55.04</fb>
    <v>1</v>
  </rv>
  <rv s="0">
    <fb>593.08000000000004</fb>
    <v>2</v>
  </rv>
  <rv s="0">
    <fb>42718.47</fb>
    <v>3</v>
  </rv>
  <rv s="0">
    <fb>45901</fb>
    <v>0</v>
  </rv>
  <rv s="0">
    <fb>175.7</fb>
    <v>1</v>
  </rv>
  <rv s="0">
    <fb>63.37</fb>
    <v>1</v>
  </rv>
  <rv s="0">
    <fb>19.715</fb>
    <v>1</v>
  </rv>
  <rv s="0">
    <fb>45902</fb>
    <v>0</v>
  </rv>
  <rv s="0">
    <fb>27.38</fb>
    <v>2</v>
  </rv>
  <rv s="0">
    <fb>54.96</fb>
    <v>1</v>
  </rv>
  <rv s="0">
    <fb>594.96</fb>
    <v>2</v>
  </rv>
  <rv s="0">
    <fb>43018.75</fb>
    <v>3</v>
  </rv>
  <rv s="0">
    <fb>45908</fb>
    <v>0</v>
  </rv>
  <rv s="0">
    <fb>177</fb>
    <v>1</v>
  </rv>
  <rv s="0">
    <fb>61.77</fb>
    <v>1</v>
  </rv>
  <rv s="0">
    <fb>19</fb>
    <v>1</v>
  </rv>
  <rv s="0">
    <fb>4.8499999999999996</fb>
    <v>2</v>
  </rv>
  <rv s="0">
    <fb>28.2</fb>
    <v>2</v>
  </rv>
  <rv s="0">
    <fb>55.49</fb>
    <v>1</v>
  </rv>
  <rv s="0">
    <fb>604.44000000000005</fb>
    <v>2</v>
  </rv>
  <rv s="0">
    <fb>44768.12</fb>
    <v>3</v>
  </rv>
  <rv s="0">
    <fb>45915</fb>
    <v>0</v>
  </rv>
  <rv s="0">
    <fb>179.35</fb>
    <v>1</v>
  </rv>
  <rv s="0">
    <fb>60.46</fb>
    <v>1</v>
  </rv>
  <rv s="0">
    <fb>21.6</fb>
    <v>1</v>
  </rv>
  <rv s="0">
    <fb>4.83</fb>
    <v>2</v>
  </rv>
  <rv s="0">
    <fb>26.326000000000001</fb>
    <v>2</v>
  </rv>
  <rv s="0">
    <fb>611.78</fb>
    <v>2</v>
  </rv>
  <rv s="0">
    <fb>45916</fb>
    <v>0</v>
  </rv>
  <rv s="0">
    <fb>45045.81</fb>
    <v>3</v>
  </rv>
  <rv s="0">
    <fb>45922</fb>
    <v>0</v>
  </rv>
  <rv s="0">
    <fb>180.3</fb>
    <v>1</v>
  </rv>
  <rv s="0">
    <fb>58.45</fb>
    <v>1</v>
  </rv>
  <rv s="0">
    <fb>4.97</fb>
    <v>2</v>
  </rv>
  <rv s="0">
    <fb>26.24</fb>
    <v>2</v>
  </rv>
  <rv s="0">
    <fb>610.16</fb>
    <v>2</v>
  </rv>
  <rv s="0">
    <fb>45354.99</fb>
    <v>3</v>
  </rv>
  <rv s="0">
    <fb>45929</fb>
    <v>0</v>
  </rv>
  <rv s="0">
    <fb>187.6</fb>
    <v>1</v>
  </rv>
  <rv s="0">
    <fb>61.82</fb>
    <v>1</v>
  </rv>
  <rv s="0">
    <fb>21.47</fb>
    <v>1</v>
  </rv>
  <rv s="0">
    <fb>5.05</fb>
    <v>2</v>
  </rv>
  <rv s="0">
    <fb>25.975000000000001</fb>
    <v>2</v>
  </rv>
  <rv s="0">
    <fb>56.53</fb>
    <v>1</v>
  </rv>
  <rv s="0">
    <fb>615.29999999999995</fb>
    <v>2</v>
  </rv>
  <rv s="0">
    <fb>45769.5</fb>
    <v>3</v>
  </rv>
  <rv s="0">
    <fb>45936</fb>
    <v>0</v>
  </rv>
  <rv s="0">
    <fb>187.5</fb>
    <v>1</v>
  </rv>
  <rv s="0">
    <fb>56.86</fb>
    <v>1</v>
  </rv>
  <rv s="0">
    <fb>21.64</fb>
    <v>1</v>
  </rv>
  <rv s="0">
    <fb>4.75</fb>
    <v>2</v>
  </rv>
  <rv s="0">
    <fb>24.22</fb>
    <v>2</v>
  </rv>
  <rv s="0">
    <fb>55.88</fb>
    <v>1</v>
  </rv>
  <rv s="0">
    <fb>600.51</fb>
    <v>2</v>
  </rv>
  <rv s="0">
    <fb>48088.800000000003</fb>
    <v>3</v>
  </rv>
  <rv s="0">
    <fb>45943</fb>
    <v>0</v>
  </rv>
  <rv s="0">
    <fb>191.4</fb>
    <v>1</v>
  </rv>
  <rv s="0">
    <fb>57.77</fb>
    <v>1</v>
  </rv>
  <rv s="0">
    <fb>21.13</fb>
    <v>1</v>
  </rv>
  <rv s="0">
    <fb>4.78</fb>
    <v>2</v>
  </rv>
  <rv s="0">
    <fb>24.66</fb>
    <v>2</v>
  </rv>
  <rv s="0">
    <fb>56.14</fb>
    <v>1</v>
  </rv>
  <rv s="0">
    <fb>610.76</fb>
    <v>2</v>
  </rv>
  <rv s="0">
    <fb>45944</fb>
    <v>0</v>
  </rv>
  <rv s="0">
    <fb>47582.15</fb>
    <v>3</v>
  </rv>
  <rv s="0">
    <fb>45950</fb>
    <v>0</v>
  </rv>
  <rv s="0">
    <fb>187.4</fb>
    <v>1</v>
  </rv>
  <rv s="0">
    <fb>59.73</fb>
    <v>1</v>
  </rv>
  <rv s="0">
    <fb>4.8099999999999996</fb>
    <v>2</v>
  </rv>
  <rv s="0">
    <fb>26.07</fb>
    <v>2</v>
  </rv>
  <rv s="0">
    <fb>57.08</fb>
    <v>1</v>
  </rv>
  <rv s="0">
    <fb>622.54999999999995</fb>
    <v>2</v>
  </rv>
  <rv s="0">
    <fb>49299.65</fb>
    <v>3</v>
  </rv>
  <rv s="0">
    <fb>45957</fb>
    <v>0</v>
  </rv>
  <rv s="0">
    <fb>163.80000000000001</fb>
    <v>1</v>
  </rv>
  <rv s="0">
    <fb>56.11</fb>
    <v>1</v>
  </rv>
  <rv s="0">
    <fb>18.420000000000002</fb>
    <v>1</v>
  </rv>
  <rv s="0">
    <fb>4.6100000000000003</fb>
    <v>2</v>
  </rv>
  <rv s="0">
    <fb>25.484000000000002</fb>
    <v>2</v>
  </rv>
  <rv s="0">
    <fb>56.77</fb>
    <v>1</v>
  </rv>
  <rv s="0">
    <fb>627.04</fb>
    <v>2</v>
  </rv>
  <rv s="0">
    <fb>52411.34</fb>
    <v>3</v>
  </rv>
  <rv s="0">
    <fb>45964</fb>
    <v>0</v>
  </rv>
  <rv s="0">
    <fb>157.55000000000001</fb>
    <v>1</v>
  </rv>
  <rv s="0">
    <fb>52.59</fb>
    <v>1</v>
  </rv>
  <rv s="0">
    <fb>15.875</fb>
    <v>1</v>
  </rv>
  <rv s="0">
    <fb>4.66</fb>
    <v>2</v>
  </rv>
  <rv s="0">
    <fb>24.29</fb>
    <v>2</v>
  </rv>
  <rv s="0">
    <fb>56.04</fb>
    <v>1</v>
  </rv>
  <rv s="0">
    <fb>616.89</fb>
    <v>2</v>
  </rv>
  <rv s="0">
    <fb>45965</fb>
    <v>0</v>
  </rv>
  <rv s="0">
    <fb>50276.37</fb>
    <v>3</v>
  </rv>
  <rv s="0">
    <fb>45971</fb>
    <v>0</v>
  </rv>
  <rv s="0">
    <fb>161.65</fb>
    <v>1</v>
  </rv>
  <rv s="0">
    <fb>55.46</fb>
    <v>1</v>
  </rv>
  <rv s="0">
    <fb>16.285</fb>
    <v>1</v>
  </rv>
  <rv s="0">
    <fb>4.53</fb>
    <v>2</v>
  </rv>
  <rv s="0">
    <fb>24.53</fb>
    <v>2</v>
  </rv>
  <rv s="0">
    <fb>57.09</fb>
    <v>1</v>
  </rv>
  <rv s="0">
    <fb>617.83000000000004</fb>
    <v>2</v>
  </rv>
  <rv s="0">
    <fb>50376.53</fb>
    <v>3</v>
  </rv>
  <rv s="0">
    <fb>45978</fb>
    <v>0</v>
  </rv>
  <rv s="0">
    <fb>151.6</fb>
    <v>1</v>
  </rv>
  <rv s="0">
    <fb>54.29</fb>
    <v>1</v>
  </rv>
  <rv s="0">
    <fb>15.63</fb>
    <v>1</v>
  </rv>
  <rv s="0">
    <fb>4.28</fb>
    <v>2</v>
  </rv>
  <rv s="0">
    <fb>24.05</fb>
    <v>2</v>
  </rv>
  <rv s="0">
    <fb>55.8</fb>
    <v>1</v>
  </rv>
  <rv s="0">
    <fb>605.92999999999995</fb>
    <v>2</v>
  </rv>
  <rv s="0">
    <fb>48625.88</fb>
    <v>3</v>
  </rv>
  <rv s="0">
    <fb>45985</fb>
    <v>0</v>
  </rv>
  <rv s="0">
    <fb>160.4</fb>
    <v>1</v>
  </rv>
  <rv s="0">
    <fb>55.78</fb>
    <v>1</v>
  </rv>
  <rv s="0">
    <fb>19.95</fb>
    <v>1</v>
  </rv>
  <rv s="0">
    <fb>4.62</fb>
    <v>2</v>
  </rv>
  <rv s="0">
    <fb>24.105</fb>
    <v>2</v>
  </rv>
  <rv s="0">
    <fb>57.24</fb>
    <v>1</v>
  </rv>
  <rv s="0">
    <fb>628.41</fb>
    <v>2</v>
  </rv>
  <rv s="0">
    <fb>45986</fb>
    <v>0</v>
  </rv>
  <rv s="0">
    <fb>50253.91</fb>
    <v>3</v>
  </rv>
  <rv s="0">
    <fb>45992</fb>
    <v>0</v>
  </rv>
  <rv s="0">
    <fb>164.3</fb>
    <v>1</v>
  </rv>
  <rv s="0">
    <fb>56.5</fb>
    <v>1</v>
  </rv>
  <rv s="0">
    <fb>21.09</fb>
    <v>1</v>
  </rv>
  <rv s="0">
    <fb>4.55</fb>
    <v>2</v>
  </rv>
  <rv s="0">
    <fb>23.99</fb>
    <v>2</v>
  </rv>
  <rv s="0">
    <fb>57.48</fb>
    <v>1</v>
  </rv>
  <rv s="0">
    <fb>630.48</fb>
    <v>2</v>
  </rv>
  <rv s="0">
    <fb>50491.87</fb>
    <v>3</v>
  </rv>
  <rv s="0">
    <fb>45999</fb>
    <v>0</v>
  </rv>
  <rv s="0">
    <fb>57.61</fb>
    <v>1</v>
  </rv>
  <rv s="0">
    <fb>21.75</fb>
    <v>1</v>
  </rv>
  <rv s="0">
    <fb>4.33</fb>
    <v>2</v>
  </rv>
  <rv s="0">
    <fb>24.83</fb>
    <v>2</v>
  </rv>
  <rv s="0">
    <fb>57.34</fb>
    <v>1</v>
  </rv>
  <rv s="0">
    <fb>626.87</fb>
    <v>2</v>
  </rv>
  <rv s="0">
    <fb>50836.55</fb>
    <v>3</v>
  </rv>
  <rv s="0">
    <fb>46006</fb>
    <v>0</v>
  </rv>
  <rv s="0">
    <fb>165.1</fb>
    <v>1</v>
  </rv>
  <rv s="0">
    <fb>50.49</fb>
    <v>1</v>
  </rv>
  <rv s="0">
    <fb>22.42</fb>
    <v>1</v>
  </rv>
  <rv s="0">
    <fb>24.62</fb>
    <v>2</v>
  </rv>
  <rv s="0">
    <fb>58.1</fb>
    <v>1</v>
  </rv>
  <rv s="0">
    <fb>627.55999999999995</fb>
    <v>2</v>
  </rv>
  <rv s="0">
    <fb>49507.21</fb>
    <v>3</v>
  </rv>
  <rv s="0">
    <fb>46013</fb>
    <v>0</v>
  </rv>
  <rv s="0">
    <fb>164.4</fb>
    <v>1</v>
  </rv>
  <rv s="0">
    <fb>48.71</fb>
    <v>1</v>
  </rv>
  <rv s="0">
    <fb>21.55</fb>
    <v>1</v>
  </rv>
  <rv s="0">
    <fb>4.6500000000000004</fb>
    <v>2</v>
  </rv>
  <rv s="0">
    <fb>24.95</fb>
    <v>2</v>
  </rv>
  <rv s="0">
    <fb>58.21</fb>
    <v>1</v>
  </rv>
  <rv s="0">
    <fb>634.84</fb>
    <v>2</v>
  </rv>
  <rv s="0">
    <fb>50750.39</fb>
    <v>3</v>
  </rv>
  <rv s="0">
    <fb>46020</fb>
    <v>0</v>
  </rv>
  <rv s="0">
    <fb>167.4</fb>
    <v>1</v>
  </rv>
  <rv s="0">
    <fb>53.82</fb>
    <v>1</v>
  </rv>
  <rv s="0">
    <fb>22.4</fb>
    <v>1</v>
  </rv>
  <rv s="0">
    <fb>5.29</fb>
    <v>2</v>
  </rv>
  <rv s="0">
    <fb>23.95</fb>
    <v>2</v>
  </rv>
  <rv s="0">
    <fb>59.03</fb>
    <v>1</v>
  </rv>
  <rv s="0">
    <fb>628.29999999999995</fb>
    <v>2</v>
  </rv>
  <rv s="0">
    <fb>50339.48</fb>
    <v>3</v>
  </rv>
  <rv s="0">
    <fb>46027</fb>
    <v>0</v>
  </rv>
  <rv s="0">
    <fb>166.65</fb>
    <v>1</v>
  </rv>
  <rv s="0">
    <fb>56.63</fb>
    <v>1</v>
  </rv>
  <rv s="0">
    <fb>23.95</fb>
    <v>1</v>
  </rv>
  <rv s="0">
    <fb>5.64</fb>
    <v>2</v>
  </rv>
  <rv s="0">
    <fb>26.663</fb>
    <v>2</v>
  </rv>
  <rv s="0">
    <fb>60.4</fb>
    <v>1</v>
  </rv>
  <rv s="0">
    <fb>638.30999999999995</fb>
    <v>2</v>
  </rv>
  <rv s="0">
    <fb>51939.89</fb>
    <v>3</v>
  </rv>
  <rv s="0">
    <fb>46034</fb>
    <v>0</v>
  </rv>
  <rv s="0">
    <fb>159.85</fb>
    <v>1</v>
  </rv>
  <rv s="0">
    <fb>55.45</fb>
    <v>1</v>
  </rv>
  <rv s="0">
    <fb>5.78</fb>
    <v>2</v>
  </rv>
  <rv s="0">
    <fb>26.19</fb>
    <v>2</v>
  </rv>
  <rv s="0">
    <fb>60.88</fb>
    <v>1</v>
  </rv>
  <rv s="0">
    <fb>636.09</fb>
    <v>2</v>
  </rv>
  <rv s="0">
    <fb>46035</fb>
    <v>0</v>
  </rv>
  <rv s="0">
    <fb>53936.17</fb>
    <v>3</v>
  </rv>
  <rv s="0">
    <fb>46041</fb>
    <v>0</v>
  </rv>
  <rv s="0">
    <fb>143.75</fb>
    <v>1</v>
  </rv>
  <rv s="0">
    <fb>55.02</fb>
    <v>1</v>
  </rv>
  <rv s="0">
    <fb>18.5</fb>
    <v>1</v>
  </rv>
  <rv s="0">
    <fb>46042</fb>
    <v>0</v>
  </rv>
  <rv s="0">
    <fb>6.35</fb>
    <v>2</v>
  </rv>
  <rv s="0">
    <fb>25.585000000000001</fb>
    <v>2</v>
  </rv>
  <rv s="0">
    <fb>60.23</fb>
    <v>1</v>
  </rv>
  <rv s="0">
    <fb>633.83000000000004</fb>
    <v>2</v>
  </rv>
  <rv s="0">
    <fb>53846.87</fb>
    <v>3</v>
  </rv>
  <rv s="0">
    <fb>46048</fb>
    <v>0</v>
  </rv>
  <rv s="0">
    <fb>149.15</fb>
    <v>1</v>
  </rv>
  <rv s="0">
    <fb>51.95</fb>
    <v>1</v>
  </rv>
  <rv s="0">
    <fb>6.17</fb>
    <v>2</v>
  </rv>
  <rv s="0">
    <fb>24.015000000000001</fb>
    <v>2</v>
  </rv>
  <rv s="0">
    <fb>60.54</fb>
    <v>1</v>
  </rv>
  <rv s="0">
    <fb>636.22</fb>
    <v>2</v>
  </rv>
  <rv s="0">
    <fb>53322.85</fb>
    <v>3</v>
  </rv>
  <rv s="0">
    <fb>46055</fb>
    <v>0</v>
  </rv>
  <rv s="0">
    <fb>152.85</fb>
    <v>1</v>
  </rv>
  <rv s="0">
    <fb>53.96</fb>
    <v>1</v>
  </rv>
  <rv s="0">
    <fb>22.7</fb>
    <v>1</v>
  </rv>
  <rv s="0">
    <fb>7.56</fb>
    <v>2</v>
  </rv>
  <rv s="0">
    <fb>24.59</fb>
    <v>2</v>
  </rv>
  <rv s="0">
    <fb>61.13</fb>
    <v>1</v>
  </rv>
  <rv s="0">
    <fb>635.24</fb>
    <v>2</v>
  </rv>
  <rv s="0">
    <fb>54253.68</fb>
    <v>3</v>
  </rv>
  <rv s="0">
    <fb>46062</fb>
    <v>0</v>
  </rv>
  <rv s="0">
    <fb>154.94999999999999</fb>
    <v>1</v>
  </rv>
  <rv s="0">
    <fb>53.03</fb>
    <v>1</v>
  </rv>
  <rv s="0">
    <fb>23.45</fb>
    <v>1</v>
  </rv>
  <rv s="0">
    <fb>29.074999999999999</fb>
    <v>2</v>
  </rv>
  <rv s="0">
    <fb>61.24</fb>
    <v>1</v>
  </rv>
  <rv s="0">
    <fb>626.89</fb>
    <v>2</v>
  </rv>
  <rv s="0">
    <fb>56941.97</fb>
    <v>3</v>
  </rv>
  <rv s="0">
    <fb>46069</fb>
    <v>0</v>
  </rv>
  <rv s="0">
    <fb>158.69999999999999</fb>
    <v>1</v>
  </rv>
  <rv s="0">
    <fb>23.25</fb>
    <v>1</v>
  </rv>
  <rv s="0">
    <fb>46070</fb>
    <v>0</v>
  </rv>
  <rv s="0">
    <fb>8.14</fb>
    <v>2</v>
  </rv>
  <rv s="0">
    <fb>31.4</fb>
    <v>2</v>
  </rv>
  <rv s="0">
    <fb>62.62</fb>
    <v>1</v>
  </rv>
  <rv s="0">
    <fb>634.02</fb>
    <v>2</v>
  </rv>
  <rv s="0">
    <fb>56825.7</fb>
    <v>3</v>
  </rv>
  <rv s="0">
    <fb>46076</fb>
    <v>0</v>
  </rv>
  <rv s="0">
    <fb>158.19999999999999</fb>
    <v>1</v>
  </rv>
  <rv s="0">
    <fb>52.72</fb>
    <v>1</v>
  </rv>
  <rv s="0">
    <fb>23.76</fb>
    <v>1</v>
  </rv>
  <rv s="0">
    <fb>7.42</fb>
    <v>2</v>
  </rv>
  <rv s="0">
    <fb>30.55</fb>
    <v>2</v>
  </rv>
  <rv s="0">
    <fb>62.87</fb>
    <v>1</v>
  </rv>
  <rv s="0">
    <fb>631.04</fb>
    <v>2</v>
  </rv>
  <rv s="0">
    <fb>46077</fb>
    <v>0</v>
  </rv>
  <rv s="0">
    <fb>58850.27</fb>
    <v>3</v>
  </rv>
  <rv s="0">
    <fb>46083</fb>
    <v>0</v>
  </rv>
  <rv s="0">
    <fb>142.69999999999999</fb>
    <v>1</v>
  </rv>
  <rv s="0">
    <fb>49.055</fb>
    <v>1</v>
  </rv>
  <rv s="0">
    <fb>6.59</fb>
    <v>2</v>
  </rv>
  <rv s="0">
    <fb>28.49</fb>
    <v>2</v>
  </rv>
  <rv s="0">
    <fb>59.4</fb>
    <v>1</v>
  </rv>
  <rv s="0">
    <fb>618.42999999999995</fb>
    <v>2</v>
  </rv>
  <rv s="0">
    <fb>55620.84</fb>
    <v>3</v>
  </rv>
  <rv s="0">
    <fb>46090</fb>
    <v>0</v>
  </rv>
  <rv s="0">
    <fb>138.9</fb>
    <v>1</v>
  </rv>
  <rv s="0">
    <fb>47.26</fb>
    <v>1</v>
  </rv>
  <rv s="0">
    <fb>21.61</fb>
    <v>1</v>
  </rv>
  <rv s="0">
    <fb>6.49</fb>
    <v>2</v>
  </rv>
  <rv s="0">
    <fb>27.598500000000001</fb>
    <v>2</v>
  </rv>
  <rv s="0">
    <fb>59.13</fb>
    <v>1</v>
  </rv>
  <rv s="0">
    <fb>609.09</fb>
    <v>2</v>
  </rv>
  <rv s="0">
    <fb>53819.61</fb>
    <v>3</v>
  </rv>
  <rv s="0">
    <fb>46097</fb>
    <v>0</v>
  </rv>
  <rv s="0">
    <fb>133.5</fb>
    <v>1</v>
  </rv>
  <rv s="0">
    <fb>46</fb>
    <v>1</v>
  </rv>
  <rv s="0">
    <fb>20.059999999999999</fb>
    <v>1</v>
  </rv>
  <rv s="0">
    <fb>5.85</fb>
    <v>2</v>
  </rv>
  <rv s="0">
    <fb>26.6</fb>
    <v>2</v>
  </rv>
  <rv s="0">
    <fb>56.7</fb>
    <v>1</v>
  </rv>
  <rv s="0">
    <fb>597.94000000000005</fb>
    <v>2</v>
  </rv>
  <rv s="0">
    <fb>53372.53</fb>
    <v>3</v>
  </rv>
  <rv s="0">
    <fb>46104</fb>
    <v>0</v>
  </rv>
  <rv s="0">
    <fb>132.05000000000001</fb>
    <v>1</v>
  </rv>
  <rv s="0">
    <fb>44.89</fb>
    <v>1</v>
  </rv>
  <rv s="0">
    <fb>5.74</fb>
    <v>2</v>
  </rv>
  <rv s="0">
    <fb>26.135000000000002</fb>
    <v>2</v>
  </rv>
  <rv s="0">
    <fb>57.05</fb>
    <v>1</v>
  </rv>
  <rv s="0">
    <fb>582.96</fb>
    <v>2</v>
  </rv>
  <rv s="0">
    <fb>53373.07</fb>
    <v>3</v>
  </rv>
  <rv s="0">
    <fb>46111</fb>
    <v>0</v>
  </rv>
  <rv s="0">
    <fb>134.9</fb>
    <v>1</v>
  </rv>
  <rv s="0">
    <fb>37.835000000000001</fb>
    <v>1</v>
  </rv>
  <rv s="0">
    <fb>22.05</fb>
    <v>1</v>
  </rv>
  <rv s="0">
    <fb>5.62</fb>
    <v>2</v>
  </rv>
  <rv s="0">
    <fb>27.54</fb>
    <v>2</v>
  </rv>
  <rv s="0">
    <fb>59.24</fb>
    <v>1</v>
  </rv>
  <rv s="0">
    <fb>602.99</fb>
    <v>2</v>
  </rv>
  <rv s="0">
    <fb>53123.49</fb>
    <v>3</v>
  </rv>
  <rv s="1">
    <v>4</v>
    <v>VOO</v>
    <v>Weekly</v>
    <v>45382</v>
    <v>46116</v>
    <v>0</v>
    <v>1</v>
    <v>639106848000000000,639133253679580233,0</v>
    <v>0</v>
    <v>a25hm7</v>
    <v>ARCX:VOO</v>
    <v>1</v>
  </rv>
  <rv s="1">
    <v>5</v>
    <v>XETR:PUM</v>
    <v>Weekly</v>
    <v>45382</v>
    <v>46116</v>
    <v>0</v>
    <v>1</v>
    <v>639106848000000000,639133253676497604,0</v>
    <v>2</v>
    <v>aftg27</v>
    <v>XETR:PUM</v>
    <v>3</v>
  </rv>
  <rv s="1">
    <v>5</v>
    <v>XETR:EXSA</v>
    <v>Weekly</v>
    <v>45382</v>
    <v>46116</v>
    <v>0</v>
    <v>1</v>
    <v>639106848000000000,639133253678036790,0</v>
    <v>2</v>
    <v>afrsw7</v>
    <v>XETR:EXSA</v>
    <v>4</v>
  </rv>
  <rv s="1">
    <v>5</v>
    <v>NKE</v>
    <v>Weekly</v>
    <v>45382</v>
    <v>46116</v>
    <v>0</v>
    <v>1</v>
    <v>639106848000000000,639133253681112696,0</v>
    <v>2</v>
    <v>aft6kr</v>
    <v>XETR:NKE</v>
    <v>5</v>
  </rv>
  <rv s="1">
    <v>6</v>
    <v>^N225</v>
    <v>Weekly</v>
    <v>45382</v>
    <v>46116</v>
    <v>0</v>
    <v>1</v>
    <v>639107712000000000,639134757949983857,0</v>
    <v>6</v>
    <v>a9j7bh</v>
    <v>N225</v>
    <v>7</v>
  </rv>
  <rv s="1">
    <v>4</v>
    <v>UAA</v>
    <v>Weekly</v>
    <v>45382</v>
    <v>46116</v>
    <v>0</v>
    <v>1</v>
    <v>639106848000000000,639133253682634642,0</v>
    <v>0</v>
    <v>a24qf2</v>
    <v>XNYS:UAA</v>
    <v>8</v>
  </rv>
  <rv s="1">
    <v>5</v>
    <v>XETR:ADS</v>
    <v>Weekly</v>
    <v>45382</v>
    <v>46116</v>
    <v>0</v>
    <v>1</v>
    <v>639106848000000000,639133253684172896,0</v>
    <v>2</v>
    <v>afqgvh</v>
    <v>XETR:ADS</v>
    <v>9</v>
  </rv>
  <rv s="1">
    <v>4</v>
    <v>ASCCY</v>
    <v>Weekly</v>
    <v>45382</v>
    <v>46116</v>
    <v>0</v>
    <v>1</v>
    <v>639106848000000000,639133253685693434,0</v>
    <v>0</v>
    <v>a28i3m</v>
    <v>OTCM:ASCCY</v>
    <v>10</v>
  </rv>
</rvData>
</file>

<file path=xl/richData/rdrichvaluestructure.xml><?xml version="1.0" encoding="utf-8"?>
<rvStructures xmlns="http://schemas.microsoft.com/office/spreadsheetml/2017/richdata" count="2">
  <s t="_formattednumber">
    <k n="_Format" t="spb"/>
  </s>
  <s t="_stockhistorycache">
    <k n="_Format" t="spb"/>
    <k n="Symbol" t="s"/>
    <k n="Interval" t="s"/>
    <k n="StartDate" t="i"/>
    <k n="EndDate" t="i"/>
    <k n="f1904" t="b"/>
    <k n="fdcompat" t="b"/>
    <k n="etag" t="s"/>
    <k n="Date" t="a"/>
    <k n="EntityId" t="s"/>
    <k n="Instrument" t="s"/>
    <k n="Close" t="a"/>
  </s>
</rvStructures>
</file>

<file path=xl/richData/rdsupportingpropertybag.xml><?xml version="1.0" encoding="utf-8"?>
<supportingPropertyBags xmlns="http://schemas.microsoft.com/office/spreadsheetml/2017/richdata2">
  <spbData count="7">
    <spb s="0">
      <v>1</v>
    </spb>
    <spb s="0">
      <v>2</v>
    </spb>
    <spb s="0">
      <v>3</v>
    </spb>
    <spb s="0">
      <v>4</v>
    </spb>
    <spb s="1">
      <v>1</v>
      <v>3</v>
    </spb>
    <spb s="1">
      <v>1</v>
      <v>2</v>
    </spb>
    <spb s="1">
      <v>1</v>
      <v>4</v>
    </spb>
  </spbData>
</supportingPropertyBags>
</file>

<file path=xl/richData/rdsupportingpropertybagstructure.xml><?xml version="1.0" encoding="utf-8"?>
<spbStructures xmlns="http://schemas.microsoft.com/office/spreadsheetml/2017/richdata2" count="2">
  <s>
    <k n="_Self" t="i"/>
  </s>
  <s>
    <k n="Date" t="i"/>
    <k n="Clos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19" formatCode="dd/mm/yyyy"/>
    </x:dxf>
    <x:dxf>
      <x:numFmt numFmtId="0" formatCode="General"/>
    </x:dxf>
  </dxfs>
  <richProperties>
    <rPr n="NumberFormat" t="s"/>
  </richProperties>
  <richStyles>
    <rSty dxfid="0"/>
    <rSty dxfid="1">
      <rpv i="0">_([$€-x-euro2] * #,##0.00_);_([$€-x-euro2] * (#,##0.00);_([$€-x-euro2] * "-"??_);_(@_)</rpv>
    </rSty>
    <rSty dxfid="1">
      <rpv i="0">_([$$-en-US]* #,##0.00_);_([$$-en-US]* (#,##0.00);_([$$-en-US]* "-"??_);_(@_)</rpv>
    </rSty>
    <rSty dxfid="1">
      <rpv i="0">_-[$¥-ja-JP]* #,##0.00_-;-[$¥-ja-JP]* #,##0.00_-;_-[$¥-ja-JP]* "-"??_-;_-@_-</rpv>
    </rSty>
  </richStyles>
</richStyleSheet>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D7B6A-2EA1-489F-A5D2-2C655A5BC55E}">
  <dimension ref="A1:AG66"/>
  <sheetViews>
    <sheetView showGridLines="0" topLeftCell="A5" zoomScale="109" zoomScaleNormal="100" workbookViewId="0">
      <selection activeCell="G13" sqref="G13:G20"/>
    </sheetView>
  </sheetViews>
  <sheetFormatPr defaultRowHeight="14.4"/>
  <cols>
    <col min="1" max="1" width="1.21875" customWidth="1"/>
    <col min="2" max="2" width="22.77734375" customWidth="1"/>
    <col min="8" max="8" width="2.77734375" customWidth="1"/>
    <col min="9" max="9" width="22.5546875" customWidth="1"/>
    <col min="15" max="15" width="2.77734375" customWidth="1"/>
    <col min="16" max="16" width="22.6640625" customWidth="1"/>
  </cols>
  <sheetData>
    <row r="1" spans="1:21">
      <c r="A1" s="1"/>
      <c r="B1" s="1"/>
      <c r="C1" s="1"/>
      <c r="D1" s="1"/>
      <c r="E1" s="1"/>
      <c r="F1" s="1"/>
      <c r="G1" s="1"/>
      <c r="H1" s="1"/>
      <c r="I1" s="1"/>
    </row>
    <row r="2" spans="1:21" ht="14.4" customHeight="1">
      <c r="A2" s="1"/>
      <c r="B2" s="1"/>
      <c r="C2" s="236" t="s">
        <v>18</v>
      </c>
      <c r="D2" s="236"/>
      <c r="E2" s="236"/>
      <c r="F2" s="236"/>
      <c r="G2" s="236"/>
      <c r="H2" s="236"/>
      <c r="I2" s="236"/>
      <c r="J2" s="2"/>
      <c r="K2" s="2"/>
      <c r="L2" s="2"/>
    </row>
    <row r="3" spans="1:21" ht="14.4" customHeight="1">
      <c r="A3" s="1"/>
      <c r="B3" s="1"/>
      <c r="C3" s="236"/>
      <c r="D3" s="236"/>
      <c r="E3" s="236"/>
      <c r="F3" s="236"/>
      <c r="G3" s="236"/>
      <c r="H3" s="236"/>
      <c r="I3" s="236"/>
      <c r="J3" s="2"/>
      <c r="K3" s="2"/>
      <c r="L3" s="2"/>
    </row>
    <row r="4" spans="1:21">
      <c r="A4" s="1"/>
      <c r="B4" s="1"/>
      <c r="C4" s="236"/>
      <c r="D4" s="236"/>
      <c r="E4" s="236"/>
      <c r="F4" s="236"/>
      <c r="G4" s="236"/>
      <c r="H4" s="236"/>
      <c r="I4" s="236"/>
    </row>
    <row r="5" spans="1:21">
      <c r="A5" s="1"/>
      <c r="B5" s="1"/>
      <c r="C5" s="1"/>
      <c r="D5" s="1"/>
      <c r="E5" s="1"/>
      <c r="F5" s="1"/>
      <c r="G5" s="1"/>
      <c r="H5" s="1"/>
      <c r="I5" s="1"/>
    </row>
    <row r="7" spans="1:21">
      <c r="C7" t="s">
        <v>47</v>
      </c>
    </row>
    <row r="8" spans="1:21" ht="18">
      <c r="B8" s="16" t="s">
        <v>20</v>
      </c>
      <c r="C8" s="3"/>
      <c r="D8" s="3"/>
      <c r="E8" s="3"/>
      <c r="F8" s="3"/>
      <c r="G8" s="3"/>
      <c r="H8" s="4"/>
      <c r="I8" s="16" t="s">
        <v>53</v>
      </c>
      <c r="J8" s="3"/>
      <c r="K8" s="3"/>
      <c r="L8" s="3"/>
      <c r="M8" s="3"/>
      <c r="N8" s="3"/>
      <c r="P8" s="16" t="s">
        <v>73</v>
      </c>
      <c r="Q8" s="3"/>
      <c r="R8" s="3"/>
      <c r="S8" s="3"/>
      <c r="T8" s="3"/>
      <c r="U8" s="3"/>
    </row>
    <row r="10" spans="1:21">
      <c r="B10" s="5" t="s">
        <v>19</v>
      </c>
      <c r="C10" s="5">
        <v>2021</v>
      </c>
      <c r="D10" s="5">
        <v>2022</v>
      </c>
      <c r="E10" s="5">
        <v>2023</v>
      </c>
      <c r="F10" s="5">
        <v>2024</v>
      </c>
      <c r="G10" s="5">
        <v>2025</v>
      </c>
      <c r="I10" s="5" t="s">
        <v>19</v>
      </c>
      <c r="J10" s="5">
        <v>2021</v>
      </c>
      <c r="K10" s="5">
        <v>2022</v>
      </c>
      <c r="L10" s="5">
        <v>2023</v>
      </c>
      <c r="M10" s="5">
        <v>2024</v>
      </c>
      <c r="N10" s="5">
        <v>2025</v>
      </c>
      <c r="P10" s="5" t="s">
        <v>19</v>
      </c>
      <c r="Q10" s="5">
        <v>2021</v>
      </c>
      <c r="R10" s="5">
        <v>2022</v>
      </c>
      <c r="S10" s="5">
        <v>2023</v>
      </c>
      <c r="T10" s="5">
        <v>2024</v>
      </c>
      <c r="U10" s="5">
        <v>2025</v>
      </c>
    </row>
    <row r="11" spans="1:21">
      <c r="B11" s="6"/>
      <c r="C11" s="6"/>
      <c r="D11" s="6"/>
      <c r="E11" s="6"/>
      <c r="F11" s="6"/>
      <c r="G11" s="6"/>
    </row>
    <row r="12" spans="1:21">
      <c r="B12" s="17" t="s">
        <v>0</v>
      </c>
      <c r="C12" s="17"/>
      <c r="D12" s="17"/>
      <c r="E12" s="17"/>
      <c r="F12" s="17"/>
      <c r="G12" s="17"/>
      <c r="P12" s="17" t="s">
        <v>74</v>
      </c>
    </row>
    <row r="13" spans="1:21">
      <c r="B13" t="s">
        <v>3</v>
      </c>
      <c r="C13" s="35">
        <f>Q44</f>
        <v>3828</v>
      </c>
      <c r="D13" s="35">
        <f t="shared" ref="D13:G13" si="0">R44</f>
        <v>798</v>
      </c>
      <c r="E13" s="35">
        <f t="shared" si="0"/>
        <v>1431</v>
      </c>
      <c r="F13" s="35">
        <f t="shared" si="0"/>
        <v>2455</v>
      </c>
      <c r="G13" s="35">
        <f t="shared" si="0"/>
        <v>1617</v>
      </c>
      <c r="I13" s="6" t="s">
        <v>54</v>
      </c>
      <c r="J13" s="13">
        <v>21234</v>
      </c>
      <c r="K13" s="13">
        <v>22511</v>
      </c>
      <c r="L13" s="13">
        <v>21427</v>
      </c>
      <c r="M13" s="13">
        <v>23683</v>
      </c>
      <c r="N13" s="13">
        <v>24811</v>
      </c>
      <c r="P13" s="11" t="s">
        <v>75</v>
      </c>
      <c r="Q13" s="43">
        <f>J27</f>
        <v>1852</v>
      </c>
      <c r="R13" s="43">
        <f>K27</f>
        <v>388</v>
      </c>
      <c r="S13" s="43">
        <f>L27</f>
        <v>65</v>
      </c>
      <c r="T13" s="43">
        <f>M27</f>
        <v>1121</v>
      </c>
      <c r="U13" s="43">
        <f>N27</f>
        <v>1820</v>
      </c>
    </row>
    <row r="14" spans="1:21">
      <c r="B14" t="s">
        <v>52</v>
      </c>
      <c r="C14" s="13">
        <v>0</v>
      </c>
      <c r="D14" s="13">
        <v>0</v>
      </c>
      <c r="E14" s="13">
        <v>34</v>
      </c>
      <c r="F14" s="13">
        <v>0</v>
      </c>
      <c r="G14" s="13">
        <v>0</v>
      </c>
      <c r="I14" s="28" t="s">
        <v>58</v>
      </c>
      <c r="J14" s="29">
        <v>10469</v>
      </c>
      <c r="K14" s="29">
        <v>11867</v>
      </c>
      <c r="L14" s="29">
        <v>11244</v>
      </c>
      <c r="M14" s="29">
        <v>11658</v>
      </c>
      <c r="N14" s="29">
        <v>12006</v>
      </c>
      <c r="P14" t="s">
        <v>76</v>
      </c>
      <c r="Q14" s="13">
        <v>1149</v>
      </c>
      <c r="R14" s="13">
        <v>1375</v>
      </c>
      <c r="S14" s="13">
        <v>1212</v>
      </c>
      <c r="T14" s="13">
        <v>1208</v>
      </c>
      <c r="U14" s="13">
        <v>1154</v>
      </c>
    </row>
    <row r="15" spans="1:21">
      <c r="B15" t="s">
        <v>4</v>
      </c>
      <c r="C15" s="13">
        <v>2175</v>
      </c>
      <c r="D15" s="13">
        <v>2529</v>
      </c>
      <c r="E15" s="13">
        <v>1906</v>
      </c>
      <c r="F15" s="22">
        <v>2413</v>
      </c>
      <c r="G15" s="13">
        <v>2634</v>
      </c>
      <c r="I15" s="6" t="s">
        <v>55</v>
      </c>
      <c r="J15" s="8">
        <f>J13-J14</f>
        <v>10765</v>
      </c>
      <c r="K15" s="8">
        <f>K13-K14</f>
        <v>10644</v>
      </c>
      <c r="L15" s="8">
        <f>L13-L14+1</f>
        <v>10184</v>
      </c>
      <c r="M15" s="8">
        <f>M13-M14+1</f>
        <v>12026</v>
      </c>
      <c r="N15" s="8">
        <f>N13-N14-1</f>
        <v>12804</v>
      </c>
      <c r="P15" t="s">
        <v>77</v>
      </c>
      <c r="Q15" s="13">
        <v>36</v>
      </c>
      <c r="R15" s="13">
        <v>89</v>
      </c>
      <c r="S15" s="13">
        <f>58-19</f>
        <v>39</v>
      </c>
      <c r="T15" s="13">
        <v>-40</v>
      </c>
      <c r="U15" s="13">
        <v>50</v>
      </c>
    </row>
    <row r="16" spans="1:21">
      <c r="B16" t="s">
        <v>5</v>
      </c>
      <c r="C16" s="13">
        <v>745</v>
      </c>
      <c r="D16" s="13">
        <v>1014</v>
      </c>
      <c r="E16" s="13">
        <v>614</v>
      </c>
      <c r="F16" s="22">
        <v>950</v>
      </c>
      <c r="G16" s="13">
        <v>518</v>
      </c>
      <c r="I16" t="s">
        <v>56</v>
      </c>
      <c r="J16" s="13">
        <v>86</v>
      </c>
      <c r="K16" s="13">
        <v>112</v>
      </c>
      <c r="L16" s="13">
        <v>83</v>
      </c>
      <c r="M16" s="13">
        <v>81</v>
      </c>
      <c r="N16" s="13">
        <v>81</v>
      </c>
      <c r="P16" t="s">
        <v>78</v>
      </c>
      <c r="Q16" s="13">
        <v>98</v>
      </c>
      <c r="R16" s="13">
        <v>115</v>
      </c>
      <c r="S16" s="13">
        <v>123</v>
      </c>
      <c r="T16" s="13">
        <f>164+9</f>
        <v>173</v>
      </c>
      <c r="U16" s="13">
        <v>169</v>
      </c>
    </row>
    <row r="17" spans="2:33">
      <c r="B17" t="s">
        <v>1</v>
      </c>
      <c r="C17" s="13">
        <v>4009</v>
      </c>
      <c r="D17" s="13">
        <v>5973</v>
      </c>
      <c r="E17" s="13">
        <v>4525</v>
      </c>
      <c r="F17" s="22">
        <v>4989</v>
      </c>
      <c r="G17" s="13">
        <v>5832</v>
      </c>
      <c r="I17" t="s">
        <v>57</v>
      </c>
      <c r="J17" s="13">
        <v>28</v>
      </c>
      <c r="K17" s="13">
        <v>173</v>
      </c>
      <c r="L17" s="13">
        <v>71</v>
      </c>
      <c r="M17" s="13">
        <v>174</v>
      </c>
      <c r="N17" s="13">
        <v>41</v>
      </c>
      <c r="P17" s="6" t="s">
        <v>79</v>
      </c>
    </row>
    <row r="18" spans="2:33">
      <c r="B18" t="s">
        <v>6</v>
      </c>
      <c r="C18" s="13">
        <v>91</v>
      </c>
      <c r="D18" s="13">
        <v>102</v>
      </c>
      <c r="E18" s="13">
        <v>156</v>
      </c>
      <c r="F18" s="22">
        <v>101</v>
      </c>
      <c r="G18" s="13">
        <v>167</v>
      </c>
      <c r="I18" t="s">
        <v>59</v>
      </c>
      <c r="J18" s="13">
        <v>2547</v>
      </c>
      <c r="K18" s="13">
        <v>2763</v>
      </c>
      <c r="L18" s="13">
        <v>2528</v>
      </c>
      <c r="M18" s="13">
        <v>2841</v>
      </c>
      <c r="N18" s="13">
        <v>3079</v>
      </c>
      <c r="P18" s="44" t="s">
        <v>80</v>
      </c>
      <c r="Q18" s="45">
        <v>-170</v>
      </c>
      <c r="R18" s="45">
        <v>-820</v>
      </c>
      <c r="S18" s="45">
        <v>996</v>
      </c>
      <c r="T18" s="45">
        <v>-839</v>
      </c>
      <c r="U18" s="45">
        <v>-562</v>
      </c>
    </row>
    <row r="19" spans="2:33">
      <c r="B19" t="s">
        <v>48</v>
      </c>
      <c r="C19" s="13">
        <v>1062</v>
      </c>
      <c r="D19" s="13">
        <v>1316</v>
      </c>
      <c r="E19" s="13">
        <v>0</v>
      </c>
      <c r="F19" s="13">
        <v>0</v>
      </c>
      <c r="G19" s="13">
        <v>0</v>
      </c>
      <c r="I19" t="s">
        <v>60</v>
      </c>
      <c r="J19" s="13">
        <v>4782</v>
      </c>
      <c r="K19" s="13">
        <v>5601</v>
      </c>
      <c r="L19" s="13">
        <v>5547</v>
      </c>
      <c r="M19" s="13">
        <v>5936</v>
      </c>
      <c r="N19" s="13">
        <v>5877</v>
      </c>
      <c r="P19" s="38" t="s">
        <v>81</v>
      </c>
      <c r="Q19" s="13">
        <v>125</v>
      </c>
      <c r="R19" s="13">
        <v>-1901</v>
      </c>
      <c r="S19" s="13">
        <v>1280</v>
      </c>
      <c r="T19" s="13">
        <v>-500</v>
      </c>
      <c r="U19" s="13">
        <v>-1104</v>
      </c>
    </row>
    <row r="20" spans="2:33" ht="15" thickBot="1">
      <c r="B20" s="9" t="s">
        <v>7</v>
      </c>
      <c r="C20" s="14">
        <v>2033</v>
      </c>
      <c r="D20" s="14">
        <v>0</v>
      </c>
      <c r="E20" s="14">
        <v>1143</v>
      </c>
      <c r="F20" s="23">
        <v>997</v>
      </c>
      <c r="G20" s="14">
        <v>1208</v>
      </c>
      <c r="I20" t="s">
        <v>61</v>
      </c>
      <c r="J20" s="13">
        <v>1481</v>
      </c>
      <c r="K20" s="13">
        <v>1651</v>
      </c>
      <c r="L20" s="13">
        <v>1839</v>
      </c>
      <c r="M20" s="13">
        <v>2138</v>
      </c>
      <c r="N20" s="13">
        <v>1885</v>
      </c>
      <c r="P20" s="46" t="s">
        <v>82</v>
      </c>
      <c r="Q20" s="29">
        <v>226</v>
      </c>
      <c r="R20" s="29">
        <v>721</v>
      </c>
      <c r="S20" s="29">
        <v>-857</v>
      </c>
      <c r="T20" s="29">
        <v>2024</v>
      </c>
      <c r="U20" s="29">
        <v>-377</v>
      </c>
    </row>
    <row r="21" spans="2:33">
      <c r="B21" s="6" t="s">
        <v>8</v>
      </c>
      <c r="C21" s="8">
        <f>SUM(C13:C20) +1</f>
        <v>13944</v>
      </c>
      <c r="D21" s="8">
        <f>SUM(D13:D20)</f>
        <v>11732</v>
      </c>
      <c r="E21" s="8">
        <f>SUM(E13:E20)</f>
        <v>9809</v>
      </c>
      <c r="F21" s="8">
        <f>SUM(F13:F20)-1</f>
        <v>11904</v>
      </c>
      <c r="G21" s="8">
        <f>SUM(G13:G20)</f>
        <v>11976</v>
      </c>
      <c r="I21" s="28" t="s">
        <v>70</v>
      </c>
      <c r="J21" s="13">
        <v>82</v>
      </c>
      <c r="K21" s="13">
        <v>245</v>
      </c>
      <c r="L21" s="13">
        <v>156</v>
      </c>
      <c r="M21" s="13">
        <v>29</v>
      </c>
      <c r="N21" s="13">
        <v>30</v>
      </c>
      <c r="P21" s="36" t="s">
        <v>83</v>
      </c>
      <c r="Q21" s="13">
        <v>-444</v>
      </c>
      <c r="R21" s="13">
        <v>-424</v>
      </c>
      <c r="S21" s="13">
        <v>-307</v>
      </c>
      <c r="T21" s="13">
        <f>-236</f>
        <v>-236</v>
      </c>
      <c r="U21" s="13">
        <v>-399</v>
      </c>
    </row>
    <row r="22" spans="2:33">
      <c r="C22" s="7"/>
      <c r="E22" t="s">
        <v>47</v>
      </c>
      <c r="I22" s="6" t="s">
        <v>62</v>
      </c>
      <c r="J22" s="24">
        <f>J24+J23</f>
        <v>3135</v>
      </c>
      <c r="K22" s="24">
        <f>K24+K23</f>
        <v>2044</v>
      </c>
      <c r="L22" s="24">
        <f>L24+L23</f>
        <v>1480</v>
      </c>
      <c r="M22" s="24">
        <f>M24+M23</f>
        <v>2545</v>
      </c>
      <c r="N22" s="24">
        <f>N24+N23</f>
        <v>3210</v>
      </c>
      <c r="P22" t="s">
        <v>84</v>
      </c>
      <c r="Q22" s="13">
        <v>320</v>
      </c>
      <c r="R22" s="13">
        <v>-85</v>
      </c>
      <c r="S22" s="13">
        <v>0</v>
      </c>
      <c r="T22" s="13">
        <v>0</v>
      </c>
      <c r="U22" s="13">
        <v>0</v>
      </c>
    </row>
    <row r="23" spans="2:33" ht="43.2">
      <c r="B23" t="s">
        <v>9</v>
      </c>
      <c r="C23" s="13">
        <v>2256</v>
      </c>
      <c r="D23" s="13">
        <v>2279</v>
      </c>
      <c r="E23" s="13">
        <v>2157</v>
      </c>
      <c r="F23" s="13">
        <v>2133</v>
      </c>
      <c r="G23" s="13">
        <v>1973</v>
      </c>
      <c r="I23" s="39" t="s">
        <v>72</v>
      </c>
      <c r="J23" s="40">
        <f>Q14</f>
        <v>1149</v>
      </c>
      <c r="K23" s="40">
        <f t="shared" ref="K23:N23" si="1">R14</f>
        <v>1375</v>
      </c>
      <c r="L23" s="40">
        <f t="shared" si="1"/>
        <v>1212</v>
      </c>
      <c r="M23" s="40">
        <f>T14</f>
        <v>1208</v>
      </c>
      <c r="N23" s="40">
        <f t="shared" si="1"/>
        <v>1154</v>
      </c>
      <c r="P23" s="47" t="s">
        <v>85</v>
      </c>
      <c r="Q23" s="48">
        <f>SUM(Q13:Q22)</f>
        <v>3192</v>
      </c>
      <c r="R23" s="48">
        <f>SUM(R13:R22)-1</f>
        <v>-543</v>
      </c>
      <c r="S23" s="48">
        <f>SUM(S13:S22)-1</f>
        <v>2550</v>
      </c>
      <c r="T23" s="48">
        <f>SUM(T13:T22)-1</f>
        <v>2910</v>
      </c>
      <c r="U23" s="48">
        <f>SUM(U13:U22)</f>
        <v>751</v>
      </c>
      <c r="AG23" t="s">
        <v>47</v>
      </c>
    </row>
    <row r="24" spans="2:33">
      <c r="B24" t="s">
        <v>10</v>
      </c>
      <c r="C24" s="13">
        <v>2569</v>
      </c>
      <c r="D24" s="13">
        <v>2665</v>
      </c>
      <c r="E24" s="13">
        <v>2247</v>
      </c>
      <c r="F24" s="13">
        <v>2779</v>
      </c>
      <c r="G24" s="13">
        <v>2605</v>
      </c>
      <c r="I24" s="6" t="s">
        <v>63</v>
      </c>
      <c r="J24" s="8">
        <f>SUM(J15:J17)-SUM(J18:J21)-1</f>
        <v>1986</v>
      </c>
      <c r="K24" s="24">
        <f>SUM(K15:K17)-SUM(K18:K21)</f>
        <v>669</v>
      </c>
      <c r="L24" s="24">
        <f>SUM(L15:L17)-SUM(L18:L21)</f>
        <v>268</v>
      </c>
      <c r="M24" s="24">
        <f>SUM(M15:M17)-SUM(M18:M21)</f>
        <v>1337</v>
      </c>
      <c r="N24" s="24">
        <f>SUM(N15:N17)-SUM(N18:N21)+1</f>
        <v>2056</v>
      </c>
    </row>
    <row r="25" spans="2:33">
      <c r="B25" t="s">
        <v>2</v>
      </c>
      <c r="C25" s="13">
        <v>1228</v>
      </c>
      <c r="D25" s="13">
        <v>1260</v>
      </c>
      <c r="E25" s="13">
        <v>1238</v>
      </c>
      <c r="F25" s="13">
        <v>1275</v>
      </c>
      <c r="G25" s="13">
        <v>1203</v>
      </c>
      <c r="I25" t="s">
        <v>64</v>
      </c>
      <c r="J25" s="32">
        <v>19</v>
      </c>
      <c r="K25" s="13">
        <v>39</v>
      </c>
      <c r="L25" s="13">
        <v>79</v>
      </c>
      <c r="M25" s="13">
        <v>101</v>
      </c>
      <c r="N25" s="13">
        <v>74</v>
      </c>
      <c r="P25" s="17" t="s">
        <v>86</v>
      </c>
    </row>
    <row r="26" spans="2:33">
      <c r="B26" t="s">
        <v>49</v>
      </c>
      <c r="C26" s="13">
        <v>16</v>
      </c>
      <c r="D26" s="13">
        <v>0</v>
      </c>
      <c r="E26" s="13">
        <v>0</v>
      </c>
      <c r="F26" s="13">
        <v>0</v>
      </c>
      <c r="G26" s="13">
        <v>0</v>
      </c>
      <c r="I26" s="30" t="s">
        <v>65</v>
      </c>
      <c r="J26" s="33">
        <v>153</v>
      </c>
      <c r="K26" s="29">
        <v>320</v>
      </c>
      <c r="L26" s="29">
        <v>282</v>
      </c>
      <c r="M26" s="29">
        <v>317</v>
      </c>
      <c r="N26" s="29">
        <v>310</v>
      </c>
      <c r="P26" t="s">
        <v>87</v>
      </c>
      <c r="Q26" s="13">
        <v>-667</v>
      </c>
      <c r="R26" s="13">
        <v>-695</v>
      </c>
      <c r="S26" s="13">
        <v>-504</v>
      </c>
      <c r="T26" s="13">
        <v>-540</v>
      </c>
      <c r="U26" s="13">
        <v>-477</v>
      </c>
    </row>
    <row r="27" spans="2:33">
      <c r="B27" t="s">
        <v>11</v>
      </c>
      <c r="C27" s="13">
        <v>336</v>
      </c>
      <c r="D27" s="13">
        <v>429</v>
      </c>
      <c r="E27" s="13">
        <v>442</v>
      </c>
      <c r="F27" s="13">
        <v>426</v>
      </c>
      <c r="G27" s="13">
        <v>443</v>
      </c>
      <c r="I27" s="6" t="s">
        <v>66</v>
      </c>
      <c r="J27" s="8">
        <f>J24+J25-J26</f>
        <v>1852</v>
      </c>
      <c r="K27" s="24">
        <f>K24+K25-K26</f>
        <v>388</v>
      </c>
      <c r="L27" s="24">
        <f>L24+L25-L26</f>
        <v>65</v>
      </c>
      <c r="M27" s="24">
        <f>M24+M25-M26</f>
        <v>1121</v>
      </c>
      <c r="N27" s="24">
        <f>N24+N25-N26</f>
        <v>1820</v>
      </c>
      <c r="P27" t="s">
        <v>88</v>
      </c>
      <c r="Q27" s="13">
        <v>2</v>
      </c>
      <c r="R27" s="13">
        <v>2</v>
      </c>
      <c r="S27" s="13">
        <v>10</v>
      </c>
      <c r="T27" s="13">
        <v>49</v>
      </c>
      <c r="U27" s="13">
        <v>4</v>
      </c>
    </row>
    <row r="28" spans="2:33">
      <c r="B28" t="s">
        <v>12</v>
      </c>
      <c r="C28" s="13">
        <v>290</v>
      </c>
      <c r="D28" s="13">
        <v>301</v>
      </c>
      <c r="E28" s="13">
        <v>301</v>
      </c>
      <c r="F28" s="13">
        <v>340</v>
      </c>
      <c r="G28" s="13">
        <v>353</v>
      </c>
      <c r="I28" s="28" t="s">
        <v>67</v>
      </c>
      <c r="J28" s="29">
        <v>360</v>
      </c>
      <c r="K28" s="29">
        <v>134</v>
      </c>
      <c r="L28" s="29">
        <v>124</v>
      </c>
      <c r="M28" s="29">
        <v>297</v>
      </c>
      <c r="N28" s="29">
        <v>443</v>
      </c>
      <c r="P28" t="s">
        <v>89</v>
      </c>
      <c r="Q28" s="13">
        <v>177</v>
      </c>
      <c r="R28" s="13">
        <v>1165</v>
      </c>
      <c r="S28" s="13">
        <v>-19</v>
      </c>
      <c r="T28" s="13">
        <v>100</v>
      </c>
      <c r="U28" s="13">
        <v>100</v>
      </c>
    </row>
    <row r="29" spans="2:33">
      <c r="B29" t="s">
        <v>13</v>
      </c>
      <c r="C29" s="13">
        <v>160</v>
      </c>
      <c r="D29" s="13">
        <v>336</v>
      </c>
      <c r="E29" s="13">
        <v>418</v>
      </c>
      <c r="F29" s="13">
        <v>234</v>
      </c>
      <c r="G29" s="13">
        <v>217</v>
      </c>
      <c r="I29" s="6" t="s">
        <v>71</v>
      </c>
      <c r="J29" s="8">
        <f>J27-J28</f>
        <v>1492</v>
      </c>
      <c r="K29" s="8">
        <f>K27-K28</f>
        <v>254</v>
      </c>
      <c r="L29" s="8">
        <f>L27-L28+1</f>
        <v>-58</v>
      </c>
      <c r="M29" s="8">
        <f>M27-M28</f>
        <v>824</v>
      </c>
      <c r="N29" s="8">
        <f>N27-N28</f>
        <v>1377</v>
      </c>
      <c r="P29" t="s">
        <v>90</v>
      </c>
      <c r="Q29" s="13">
        <v>64</v>
      </c>
      <c r="R29" s="13">
        <v>23</v>
      </c>
      <c r="S29" s="13">
        <v>62</v>
      </c>
      <c r="T29" s="13">
        <v>35</v>
      </c>
      <c r="U29" s="13">
        <v>-31</v>
      </c>
    </row>
    <row r="30" spans="2:33" ht="43.2">
      <c r="B30" t="s">
        <v>14</v>
      </c>
      <c r="C30" s="13">
        <v>1263</v>
      </c>
      <c r="D30" s="13">
        <v>1216</v>
      </c>
      <c r="E30" s="13">
        <v>1358</v>
      </c>
      <c r="F30" s="13">
        <v>1272</v>
      </c>
      <c r="G30" s="13">
        <v>1077</v>
      </c>
      <c r="I30" s="31" t="s">
        <v>69</v>
      </c>
      <c r="J30" s="34">
        <v>666</v>
      </c>
      <c r="K30" s="26">
        <v>384</v>
      </c>
      <c r="L30" s="26">
        <v>44</v>
      </c>
      <c r="M30" s="26">
        <v>8</v>
      </c>
      <c r="N30" s="26">
        <v>8</v>
      </c>
      <c r="P30" s="41" t="s">
        <v>91</v>
      </c>
      <c r="Q30" s="42">
        <f>SUM(Q26:Q29)</f>
        <v>-424</v>
      </c>
      <c r="R30" s="42">
        <f>SUM(R26:R29)</f>
        <v>495</v>
      </c>
      <c r="S30" s="42">
        <f>SUM(S26:S29)</f>
        <v>-451</v>
      </c>
      <c r="T30" s="42">
        <f>SUM(T26:T29)</f>
        <v>-356</v>
      </c>
      <c r="U30" s="42">
        <f>SUM(U26:U29)</f>
        <v>-404</v>
      </c>
    </row>
    <row r="31" spans="2:33" ht="15" thickBot="1">
      <c r="B31" s="10" t="s">
        <v>15</v>
      </c>
      <c r="C31" s="13">
        <v>74</v>
      </c>
      <c r="D31" s="13">
        <v>76</v>
      </c>
      <c r="E31" s="13">
        <v>49</v>
      </c>
      <c r="F31" s="13">
        <v>291</v>
      </c>
      <c r="G31" s="15">
        <v>415</v>
      </c>
      <c r="I31" s="11" t="s">
        <v>68</v>
      </c>
      <c r="J31" s="12">
        <f>J29+J30</f>
        <v>2158</v>
      </c>
      <c r="K31" s="12">
        <f>K29+K30</f>
        <v>638</v>
      </c>
      <c r="L31" s="12">
        <f>L29+L30</f>
        <v>-14</v>
      </c>
      <c r="M31" s="12">
        <f>M29+M30</f>
        <v>832</v>
      </c>
      <c r="N31" s="12">
        <f>N29+N30</f>
        <v>1385</v>
      </c>
    </row>
    <row r="32" spans="2:33">
      <c r="B32" s="6" t="s">
        <v>16</v>
      </c>
      <c r="C32" s="24">
        <f>SUM(C23:C31)+1</f>
        <v>8193</v>
      </c>
      <c r="D32" s="24">
        <f>SUM(D23:D31)+1</f>
        <v>8563</v>
      </c>
      <c r="E32" s="24">
        <f>SUM(E23:E31)+1</f>
        <v>8211</v>
      </c>
      <c r="F32" s="24">
        <f>SUM(F23:F31)+1</f>
        <v>8751</v>
      </c>
      <c r="G32" s="8">
        <f>SUM(G23:G31)</f>
        <v>8286</v>
      </c>
      <c r="P32" s="17" t="s">
        <v>92</v>
      </c>
    </row>
    <row r="33" spans="2:21">
      <c r="K33" t="s">
        <v>47</v>
      </c>
      <c r="P33" t="s">
        <v>93</v>
      </c>
      <c r="Q33" s="13">
        <v>-679</v>
      </c>
      <c r="R33" s="13">
        <v>976</v>
      </c>
      <c r="S33" s="13">
        <v>-497</v>
      </c>
      <c r="T33" s="13">
        <v>-497</v>
      </c>
      <c r="U33" s="13">
        <v>164</v>
      </c>
    </row>
    <row r="34" spans="2:21">
      <c r="B34" s="11" t="s">
        <v>17</v>
      </c>
      <c r="C34" s="12">
        <f>C21+C32</f>
        <v>22137</v>
      </c>
      <c r="D34" s="12">
        <f>D21+D32+1</f>
        <v>20296</v>
      </c>
      <c r="E34" s="12">
        <f>E21+E32</f>
        <v>18020</v>
      </c>
      <c r="F34" s="12">
        <f>F21+F32</f>
        <v>20655</v>
      </c>
      <c r="G34" s="12">
        <f>G21+G32</f>
        <v>20262</v>
      </c>
      <c r="P34" t="s">
        <v>94</v>
      </c>
      <c r="Q34" s="13">
        <v>-572</v>
      </c>
      <c r="R34" s="13">
        <v>-631</v>
      </c>
      <c r="S34" s="13">
        <v>-603</v>
      </c>
      <c r="T34" s="13">
        <v>-656</v>
      </c>
      <c r="U34" s="13">
        <v>-643</v>
      </c>
    </row>
    <row r="35" spans="2:21">
      <c r="B35" s="6"/>
      <c r="C35" s="6"/>
      <c r="D35" s="6"/>
      <c r="E35" s="6"/>
      <c r="F35" s="6"/>
      <c r="G35" s="8"/>
      <c r="P35" t="s">
        <v>95</v>
      </c>
      <c r="Q35" s="13">
        <v>-585</v>
      </c>
      <c r="R35" s="13">
        <v>-632</v>
      </c>
      <c r="S35" s="13">
        <v>-158</v>
      </c>
      <c r="T35" s="13">
        <v>-165</v>
      </c>
      <c r="U35" s="13">
        <v>-399</v>
      </c>
    </row>
    <row r="36" spans="2:21">
      <c r="B36" s="17" t="s">
        <v>46</v>
      </c>
      <c r="C36" s="17"/>
      <c r="D36" s="17"/>
      <c r="E36" s="17"/>
      <c r="F36" s="17"/>
      <c r="G36" s="17"/>
      <c r="I36" s="7"/>
      <c r="P36" t="s">
        <v>96</v>
      </c>
      <c r="Q36" s="13">
        <v>-1005</v>
      </c>
      <c r="R36" s="13">
        <v>-2505</v>
      </c>
      <c r="S36" s="13">
        <v>-4</v>
      </c>
      <c r="T36" s="13">
        <v>-11</v>
      </c>
      <c r="U36" s="13">
        <v>-4</v>
      </c>
    </row>
    <row r="37" spans="2:21">
      <c r="B37" t="s">
        <v>21</v>
      </c>
      <c r="C37" s="13">
        <v>29</v>
      </c>
      <c r="D37" s="13">
        <v>527</v>
      </c>
      <c r="E37" s="13">
        <v>549</v>
      </c>
      <c r="F37" s="13">
        <v>570</v>
      </c>
      <c r="G37" s="13">
        <v>645</v>
      </c>
      <c r="P37" t="s">
        <v>97</v>
      </c>
      <c r="Q37" s="13">
        <v>-150</v>
      </c>
      <c r="R37" s="13">
        <v>-171</v>
      </c>
      <c r="S37" s="13">
        <v>-163</v>
      </c>
      <c r="T37" s="13">
        <v>-230</v>
      </c>
      <c r="U37" s="13">
        <v>-221</v>
      </c>
    </row>
    <row r="38" spans="2:21">
      <c r="B38" t="s">
        <v>22</v>
      </c>
      <c r="C38" s="13">
        <v>2294</v>
      </c>
      <c r="D38" s="13">
        <v>2908</v>
      </c>
      <c r="E38" s="13">
        <v>2276</v>
      </c>
      <c r="F38" s="13">
        <v>3096</v>
      </c>
      <c r="G38" s="13">
        <v>2910</v>
      </c>
      <c r="P38" s="6" t="s">
        <v>98</v>
      </c>
      <c r="Q38" s="8">
        <f>SUM(Q33:Q37)</f>
        <v>-2991</v>
      </c>
      <c r="R38" s="8">
        <f>SUM(R33:R37)</f>
        <v>-2963</v>
      </c>
      <c r="S38" s="8">
        <f>SUM(S33:S37)</f>
        <v>-1425</v>
      </c>
      <c r="T38" s="8">
        <f>SUM(T33:T37)</f>
        <v>-1559</v>
      </c>
      <c r="U38" s="8">
        <f>SUM(U33:U37)</f>
        <v>-1103</v>
      </c>
    </row>
    <row r="39" spans="2:21">
      <c r="B39" t="s">
        <v>23</v>
      </c>
      <c r="C39" s="13">
        <v>573</v>
      </c>
      <c r="D39" s="13">
        <v>643</v>
      </c>
      <c r="E39" s="13">
        <v>545</v>
      </c>
      <c r="F39" s="13">
        <v>607</v>
      </c>
      <c r="G39" s="13">
        <v>603</v>
      </c>
    </row>
    <row r="40" spans="2:21">
      <c r="B40" t="s">
        <v>24</v>
      </c>
      <c r="C40" s="13">
        <v>363</v>
      </c>
      <c r="D40" s="13">
        <v>424</v>
      </c>
      <c r="E40" s="13">
        <v>266</v>
      </c>
      <c r="F40" s="13">
        <v>191</v>
      </c>
      <c r="G40" s="13">
        <v>336</v>
      </c>
      <c r="P40" s="11" t="s">
        <v>99</v>
      </c>
      <c r="Q40" s="12">
        <f>Q23+Q30+Q38</f>
        <v>-223</v>
      </c>
      <c r="R40" s="12">
        <f>R23+R30+R38</f>
        <v>-3011</v>
      </c>
      <c r="S40" s="12">
        <f>S23+S30+S38</f>
        <v>674</v>
      </c>
      <c r="T40" s="12">
        <f t="shared" ref="T40:U40" si="2">T23+T30+T38</f>
        <v>995</v>
      </c>
      <c r="U40" s="12">
        <f t="shared" si="2"/>
        <v>-756</v>
      </c>
    </row>
    <row r="41" spans="2:21">
      <c r="B41" t="s">
        <v>25</v>
      </c>
      <c r="C41" s="13">
        <v>536</v>
      </c>
      <c r="D41" s="13">
        <v>302</v>
      </c>
      <c r="E41" s="13">
        <v>323</v>
      </c>
      <c r="F41" s="13">
        <v>334</v>
      </c>
      <c r="G41" s="13">
        <v>357</v>
      </c>
      <c r="P41" t="s">
        <v>100</v>
      </c>
      <c r="Q41" s="13">
        <v>57</v>
      </c>
      <c r="R41" s="13">
        <v>-19</v>
      </c>
      <c r="S41" s="13">
        <v>-41</v>
      </c>
      <c r="T41" s="13">
        <v>29</v>
      </c>
      <c r="U41" s="13">
        <v>-82</v>
      </c>
    </row>
    <row r="42" spans="2:21">
      <c r="B42" t="s">
        <v>26</v>
      </c>
      <c r="C42" s="13">
        <v>1458</v>
      </c>
      <c r="D42" s="13">
        <v>1589</v>
      </c>
      <c r="E42" s="13">
        <v>1323</v>
      </c>
      <c r="F42" s="13">
        <v>1538</v>
      </c>
      <c r="G42" s="13">
        <v>1208</v>
      </c>
      <c r="P42" s="11" t="s">
        <v>101</v>
      </c>
      <c r="Q42" s="12">
        <f>Q40+Q41</f>
        <v>-166</v>
      </c>
      <c r="R42" s="12">
        <f>R40+R41</f>
        <v>-3030</v>
      </c>
      <c r="S42" s="12">
        <f>S40+S41</f>
        <v>633</v>
      </c>
      <c r="T42" s="12">
        <f>T40+T41</f>
        <v>1024</v>
      </c>
      <c r="U42" s="12">
        <f>U40+U41</f>
        <v>-838</v>
      </c>
    </row>
    <row r="43" spans="2:21">
      <c r="B43" t="s">
        <v>27</v>
      </c>
      <c r="C43" s="13">
        <v>2684</v>
      </c>
      <c r="D43" s="13">
        <v>2412</v>
      </c>
      <c r="E43" s="13">
        <v>2273</v>
      </c>
      <c r="F43" s="13">
        <v>2659</v>
      </c>
      <c r="G43" s="13">
        <v>2383</v>
      </c>
      <c r="P43" t="s">
        <v>102</v>
      </c>
      <c r="Q43" s="35">
        <v>3994</v>
      </c>
      <c r="R43" s="35">
        <f>Q44</f>
        <v>3828</v>
      </c>
      <c r="S43" s="35">
        <f>R44</f>
        <v>798</v>
      </c>
      <c r="T43" s="35">
        <f>S44</f>
        <v>1431</v>
      </c>
      <c r="U43" s="35">
        <f>T44</f>
        <v>2455</v>
      </c>
    </row>
    <row r="44" spans="2:21">
      <c r="B44" s="25" t="s">
        <v>28</v>
      </c>
      <c r="C44" s="13">
        <v>434</v>
      </c>
      <c r="D44" s="13">
        <v>452</v>
      </c>
      <c r="E44" s="13">
        <v>488</v>
      </c>
      <c r="F44" s="13">
        <v>598</v>
      </c>
      <c r="G44" s="26">
        <v>652</v>
      </c>
      <c r="P44" s="11" t="s">
        <v>103</v>
      </c>
      <c r="Q44" s="12">
        <f>SUM(Q42:Q43)</f>
        <v>3828</v>
      </c>
      <c r="R44" s="12">
        <f>SUM(R42:R43)</f>
        <v>798</v>
      </c>
      <c r="S44" s="12">
        <f>SUM(S42:S43)</f>
        <v>1431</v>
      </c>
      <c r="T44" s="12">
        <f>SUM(T42:T43)</f>
        <v>2455</v>
      </c>
      <c r="U44" s="12">
        <f>SUM(U42:U43)</f>
        <v>1617</v>
      </c>
    </row>
    <row r="45" spans="2:21" ht="15" thickBot="1">
      <c r="B45" s="18" t="s">
        <v>50</v>
      </c>
      <c r="C45" s="13">
        <v>594</v>
      </c>
      <c r="D45" s="20">
        <v>0</v>
      </c>
      <c r="E45" s="20">
        <v>0</v>
      </c>
      <c r="F45" s="20">
        <v>0</v>
      </c>
      <c r="G45" s="20">
        <v>0</v>
      </c>
    </row>
    <row r="46" spans="2:21" ht="15" thickTop="1">
      <c r="B46" s="6" t="s">
        <v>29</v>
      </c>
      <c r="C46" s="24">
        <f>SUM(C37:C45)</f>
        <v>8965</v>
      </c>
      <c r="D46" s="24">
        <f>SUM(D37:D45)</f>
        <v>9257</v>
      </c>
      <c r="E46" s="24">
        <f>SUM(E37:E45)</f>
        <v>8043</v>
      </c>
      <c r="F46" s="24">
        <f>SUM(F37:F45)</f>
        <v>9593</v>
      </c>
      <c r="G46" s="8">
        <f>SUM(G37:G45)</f>
        <v>9094</v>
      </c>
    </row>
    <row r="47" spans="2:21">
      <c r="G47" s="7"/>
    </row>
    <row r="48" spans="2:21">
      <c r="B48" t="s">
        <v>30</v>
      </c>
      <c r="C48" s="13">
        <v>2466</v>
      </c>
      <c r="D48" s="22">
        <v>2946</v>
      </c>
      <c r="E48" s="13">
        <v>2430</v>
      </c>
      <c r="F48" s="13">
        <v>1915</v>
      </c>
      <c r="G48" s="13">
        <v>1996</v>
      </c>
    </row>
    <row r="49" spans="2:9">
      <c r="B49" t="s">
        <v>31</v>
      </c>
      <c r="C49" s="13">
        <v>2263</v>
      </c>
      <c r="D49" s="22">
        <v>2343</v>
      </c>
      <c r="E49" s="13">
        <v>2039</v>
      </c>
      <c r="F49" s="13">
        <v>2495</v>
      </c>
      <c r="G49" s="13">
        <v>2310</v>
      </c>
    </row>
    <row r="50" spans="2:9">
      <c r="B50" t="s">
        <v>32</v>
      </c>
      <c r="C50" s="13">
        <v>51</v>
      </c>
      <c r="D50" s="22">
        <v>44</v>
      </c>
      <c r="E50" s="13">
        <v>6</v>
      </c>
      <c r="F50" s="13">
        <v>1</v>
      </c>
      <c r="G50" s="13">
        <v>7</v>
      </c>
    </row>
    <row r="51" spans="2:9">
      <c r="B51" t="s">
        <v>33</v>
      </c>
      <c r="C51" s="13">
        <v>267</v>
      </c>
      <c r="D51" s="22">
        <v>118</v>
      </c>
      <c r="E51" s="13">
        <v>139</v>
      </c>
      <c r="F51" s="13">
        <v>144</v>
      </c>
      <c r="G51" s="13">
        <v>106</v>
      </c>
    </row>
    <row r="52" spans="2:9">
      <c r="B52" t="s">
        <v>34</v>
      </c>
      <c r="C52" s="13">
        <v>122</v>
      </c>
      <c r="D52" s="22">
        <v>135</v>
      </c>
      <c r="E52" s="13">
        <v>147</v>
      </c>
      <c r="F52" s="13">
        <v>133</v>
      </c>
      <c r="G52" s="13">
        <v>45</v>
      </c>
    </row>
    <row r="53" spans="2:9">
      <c r="B53" t="s">
        <v>35</v>
      </c>
      <c r="C53" s="13">
        <v>149</v>
      </c>
      <c r="D53" s="22">
        <v>88</v>
      </c>
      <c r="E53" s="13">
        <v>188</v>
      </c>
      <c r="F53" s="13">
        <v>353</v>
      </c>
      <c r="G53" s="13">
        <v>436</v>
      </c>
      <c r="I53" t="s">
        <v>47</v>
      </c>
    </row>
    <row r="54" spans="2:9">
      <c r="B54" t="s">
        <v>51</v>
      </c>
      <c r="C54" s="13">
        <v>8</v>
      </c>
      <c r="D54" s="22">
        <v>7</v>
      </c>
      <c r="E54" s="13">
        <v>0</v>
      </c>
      <c r="F54" s="13">
        <v>0</v>
      </c>
      <c r="G54" s="13">
        <v>0</v>
      </c>
    </row>
    <row r="55" spans="2:9" ht="15" thickBot="1">
      <c r="B55" s="18" t="s">
        <v>36</v>
      </c>
      <c r="C55" s="20">
        <v>9</v>
      </c>
      <c r="D55" s="22">
        <v>6</v>
      </c>
      <c r="E55" s="13">
        <v>103</v>
      </c>
      <c r="F55" s="13">
        <v>153</v>
      </c>
      <c r="G55" s="20">
        <v>143</v>
      </c>
    </row>
    <row r="56" spans="2:9" ht="15" thickTop="1">
      <c r="B56" s="6" t="s">
        <v>37</v>
      </c>
      <c r="C56" s="8">
        <f>SUM(C48:C55)-1</f>
        <v>5334</v>
      </c>
      <c r="D56" s="8">
        <f>SUM(D48:D55)+1</f>
        <v>5688</v>
      </c>
      <c r="E56" s="8">
        <f>SUM(E48:E55)</f>
        <v>5052</v>
      </c>
      <c r="F56" s="8">
        <f>SUM(F48:F55)</f>
        <v>5194</v>
      </c>
      <c r="G56" s="8">
        <f>SUM(G48:G55)</f>
        <v>5043</v>
      </c>
    </row>
    <row r="57" spans="2:9">
      <c r="G57" s="7"/>
    </row>
    <row r="58" spans="2:9">
      <c r="B58" s="17" t="s">
        <v>38</v>
      </c>
      <c r="C58" s="17"/>
      <c r="D58" s="17"/>
      <c r="E58" s="17"/>
      <c r="F58" s="17"/>
      <c r="G58" s="17"/>
    </row>
    <row r="59" spans="2:9">
      <c r="B59" t="s">
        <v>39</v>
      </c>
      <c r="C59" s="13">
        <v>192</v>
      </c>
      <c r="D59" s="22">
        <v>179</v>
      </c>
      <c r="E59" s="13">
        <v>179</v>
      </c>
      <c r="F59" s="13">
        <v>179</v>
      </c>
      <c r="G59" s="13">
        <v>179</v>
      </c>
    </row>
    <row r="60" spans="2:9">
      <c r="B60" t="s">
        <v>40</v>
      </c>
      <c r="C60" s="13">
        <v>69</v>
      </c>
      <c r="D60" s="22">
        <v>466</v>
      </c>
      <c r="E60" s="13">
        <v>257</v>
      </c>
      <c r="F60" s="13">
        <v>522</v>
      </c>
      <c r="G60" s="13">
        <v>-161</v>
      </c>
    </row>
    <row r="61" spans="2:9" ht="15" thickBot="1">
      <c r="B61" s="18" t="s">
        <v>41</v>
      </c>
      <c r="C61" s="20">
        <v>7259</v>
      </c>
      <c r="D61" s="27">
        <v>4347</v>
      </c>
      <c r="E61" s="20">
        <v>4145</v>
      </c>
      <c r="F61" s="20">
        <v>4775</v>
      </c>
      <c r="G61" s="20">
        <v>5758</v>
      </c>
    </row>
    <row r="62" spans="2:9" ht="15" thickTop="1">
      <c r="B62" s="19" t="s">
        <v>42</v>
      </c>
      <c r="C62" s="21">
        <f>SUM(C59:C61)</f>
        <v>7520</v>
      </c>
      <c r="D62" s="21">
        <f>SUM(D59:D61)</f>
        <v>4992</v>
      </c>
      <c r="E62" s="21">
        <f>SUM(E59:E61)</f>
        <v>4581</v>
      </c>
      <c r="F62" s="21">
        <f>SUM(F59:F61)</f>
        <v>5476</v>
      </c>
      <c r="G62" s="21">
        <f>SUM(G59:G61)</f>
        <v>5776</v>
      </c>
    </row>
    <row r="63" spans="2:9" ht="15" thickBot="1">
      <c r="B63" s="18" t="s">
        <v>43</v>
      </c>
      <c r="C63" s="20">
        <v>318</v>
      </c>
      <c r="D63" s="27">
        <v>360</v>
      </c>
      <c r="E63" s="20">
        <v>345</v>
      </c>
      <c r="F63" s="20">
        <v>392</v>
      </c>
      <c r="G63" s="20">
        <v>349</v>
      </c>
    </row>
    <row r="64" spans="2:9" ht="15" thickTop="1">
      <c r="B64" s="6" t="s">
        <v>44</v>
      </c>
      <c r="C64" s="8">
        <f>C62+C63-1</f>
        <v>7837</v>
      </c>
      <c r="D64" s="8">
        <f>D62+D63-1</f>
        <v>5351</v>
      </c>
      <c r="E64" s="8">
        <f>E62+E63-1</f>
        <v>4925</v>
      </c>
      <c r="F64" s="8">
        <f>F62+F63-1</f>
        <v>5867</v>
      </c>
      <c r="G64" s="8">
        <f>G62+G63</f>
        <v>6125</v>
      </c>
    </row>
    <row r="65" spans="2:7">
      <c r="G65" s="7"/>
    </row>
    <row r="66" spans="2:7">
      <c r="B66" s="11" t="s">
        <v>45</v>
      </c>
      <c r="C66" s="12">
        <f>C46+C56+C64+1</f>
        <v>22137</v>
      </c>
      <c r="D66" s="12">
        <f>D46+D56+D64</f>
        <v>20296</v>
      </c>
      <c r="E66" s="12">
        <f t="shared" ref="E66" si="3">E46+E56+E64</f>
        <v>18020</v>
      </c>
      <c r="F66" s="12">
        <f>F46+F56+F64+1</f>
        <v>20655</v>
      </c>
      <c r="G66" s="12">
        <f>G46+G56+G64</f>
        <v>20262</v>
      </c>
    </row>
  </sheetData>
  <mergeCells count="1">
    <mergeCell ref="C2:I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F5B8A-8E83-4BD8-9964-957498A74347}">
  <dimension ref="B2:J41"/>
  <sheetViews>
    <sheetView showGridLines="0" topLeftCell="A3" zoomScale="111" workbookViewId="0">
      <selection activeCell="B35" sqref="B35"/>
    </sheetView>
  </sheetViews>
  <sheetFormatPr defaultRowHeight="14.4"/>
  <cols>
    <col min="1" max="1" width="2.33203125" customWidth="1"/>
    <col min="2" max="2" width="24.33203125" customWidth="1"/>
    <col min="3" max="3" width="11.44140625" bestFit="1" customWidth="1"/>
    <col min="4" max="4" width="10.44140625" bestFit="1" customWidth="1"/>
    <col min="5" max="5" width="9.77734375" bestFit="1" customWidth="1"/>
    <col min="6" max="6" width="9.88671875" bestFit="1" customWidth="1"/>
    <col min="7" max="7" width="9.77734375" bestFit="1" customWidth="1"/>
    <col min="8" max="8" width="7.21875" customWidth="1"/>
    <col min="9" max="10" width="10.33203125" bestFit="1" customWidth="1"/>
  </cols>
  <sheetData>
    <row r="2" spans="2:10">
      <c r="B2" s="49" t="s">
        <v>19</v>
      </c>
      <c r="C2" s="49">
        <f>BL!C10</f>
        <v>2021</v>
      </c>
      <c r="D2" s="49">
        <f>BL!D10</f>
        <v>2022</v>
      </c>
      <c r="E2" s="49">
        <f>BL!E10</f>
        <v>2023</v>
      </c>
      <c r="F2" s="49">
        <f>BL!F10</f>
        <v>2024</v>
      </c>
      <c r="G2" s="49">
        <f>BL!G10</f>
        <v>2025</v>
      </c>
      <c r="I2" s="49" t="s">
        <v>136</v>
      </c>
      <c r="J2" s="49" t="s">
        <v>137</v>
      </c>
    </row>
    <row r="4" spans="2:10">
      <c r="B4" s="55" t="s">
        <v>104</v>
      </c>
      <c r="C4" s="56"/>
      <c r="D4" s="57">
        <f>(BL!K13/BL!J13)-1</f>
        <v>6.0139399076952094E-2</v>
      </c>
      <c r="E4" s="57">
        <f>(BL!L13/BL!K13)-1</f>
        <v>-4.8154235706987736E-2</v>
      </c>
      <c r="F4" s="57">
        <f>(BL!M13/BL!L13)-1</f>
        <v>0.10528772109954732</v>
      </c>
      <c r="G4" s="58">
        <f>(BL!N13/BL!M13)-1</f>
        <v>4.7629101042942157E-2</v>
      </c>
      <c r="I4" s="51">
        <f>AVERAGE(D4:G4)</f>
        <v>4.1225496378113458E-2</v>
      </c>
      <c r="J4" s="51">
        <f>MEDIAN(D4:G4)</f>
        <v>5.3884250059947125E-2</v>
      </c>
    </row>
    <row r="5" spans="2:10">
      <c r="B5" s="59" t="s">
        <v>105</v>
      </c>
      <c r="D5" s="51">
        <f>(BL!K22/BL!J22) -1</f>
        <v>-0.34800637958532699</v>
      </c>
      <c r="E5" s="51">
        <f>(BL!L22/BL!K22) -1</f>
        <v>-0.27592954990215268</v>
      </c>
      <c r="F5" s="51">
        <f>(BL!M22/BL!L22) -1</f>
        <v>0.71959459459459452</v>
      </c>
      <c r="G5" s="60">
        <f>(BL!N22/BL!M22) -1</f>
        <v>0.26129666011787811</v>
      </c>
      <c r="I5" s="51">
        <f t="shared" ref="I5:I9" si="0">AVERAGE(D5:G5)</f>
        <v>8.923883130624824E-2</v>
      </c>
      <c r="J5" s="51">
        <f t="shared" ref="J5:J9" si="1">MEDIAN(D5:G5)</f>
        <v>-7.316444892137286E-3</v>
      </c>
    </row>
    <row r="6" spans="2:10">
      <c r="B6" s="61" t="s">
        <v>106</v>
      </c>
      <c r="D6" s="51">
        <f>BL!K24/BL!J24 - 1</f>
        <v>-0.6631419939577039</v>
      </c>
      <c r="E6" s="51">
        <f>BL!L24/BL!K24 - 1</f>
        <v>-0.59940209267563527</v>
      </c>
      <c r="F6" s="51">
        <f>BL!M24/BL!L24 - 1</f>
        <v>3.9888059701492535</v>
      </c>
      <c r="G6" s="60">
        <f>BL!N24/BL!M24 - 1</f>
        <v>0.53777112939416605</v>
      </c>
      <c r="I6" s="51">
        <f t="shared" si="0"/>
        <v>0.81600825322752013</v>
      </c>
      <c r="J6" s="51">
        <f t="shared" si="1"/>
        <v>-3.0815481640734554E-2</v>
      </c>
    </row>
    <row r="7" spans="2:10">
      <c r="B7" s="61" t="s">
        <v>107</v>
      </c>
      <c r="D7" s="51">
        <f>BL!K27/BL!J27 - 1</f>
        <v>-0.79049676025917925</v>
      </c>
      <c r="E7" s="51">
        <f>BL!L27/BL!K27 - 1</f>
        <v>-0.83247422680412375</v>
      </c>
      <c r="F7" s="51">
        <f>BL!M27/BL!L27 - 1</f>
        <v>16.246153846153845</v>
      </c>
      <c r="G7" s="60">
        <f>BL!N27/BL!M27 - 1</f>
        <v>0.62355040142729701</v>
      </c>
      <c r="I7" s="51">
        <f t="shared" si="0"/>
        <v>3.8116833151294598</v>
      </c>
      <c r="J7" s="51">
        <f t="shared" si="1"/>
        <v>-8.3473179415941123E-2</v>
      </c>
    </row>
    <row r="8" spans="2:10">
      <c r="B8" s="61" t="s">
        <v>114</v>
      </c>
      <c r="D8" s="51">
        <f>BL!K29/BL!J29 - 1</f>
        <v>-0.82975871313672922</v>
      </c>
      <c r="E8" s="51">
        <f>BL!L29/BL!K29 - 1</f>
        <v>-1.2283464566929134</v>
      </c>
      <c r="F8" s="51">
        <f>BL!M29/BL!L29 - 1</f>
        <v>-15.206896551724139</v>
      </c>
      <c r="G8" s="60">
        <f>BL!N29/BL!M29 - 1</f>
        <v>0.67111650485436902</v>
      </c>
      <c r="I8" s="51">
        <f t="shared" si="0"/>
        <v>-4.1484713041748531</v>
      </c>
      <c r="J8" s="51">
        <f t="shared" si="1"/>
        <v>-1.0290525849148213</v>
      </c>
    </row>
    <row r="9" spans="2:10">
      <c r="B9" s="62" t="s">
        <v>108</v>
      </c>
      <c r="C9" s="63"/>
      <c r="D9" s="64">
        <f>BL!R35/BL!Q35 - 1</f>
        <v>8.0341880341880278E-2</v>
      </c>
      <c r="E9" s="64">
        <f>BL!S35/BL!R35 - 1</f>
        <v>-0.75</v>
      </c>
      <c r="F9" s="64">
        <f>BL!T35/BL!S35 - 1</f>
        <v>4.4303797468354444E-2</v>
      </c>
      <c r="G9" s="65">
        <f>BL!U35/BL!T35 - 1</f>
        <v>1.418181818181818</v>
      </c>
      <c r="I9" s="51">
        <f t="shared" si="0"/>
        <v>0.19820687399801318</v>
      </c>
      <c r="J9" s="51">
        <f t="shared" si="1"/>
        <v>6.2322838905117361E-2</v>
      </c>
    </row>
    <row r="11" spans="2:10">
      <c r="B11" s="66" t="s">
        <v>109</v>
      </c>
      <c r="C11" s="57">
        <f>BL!J15/BL!J13</f>
        <v>0.50696995384760291</v>
      </c>
      <c r="D11" s="57">
        <f>BL!K15/BL!K13</f>
        <v>0.47283550264315222</v>
      </c>
      <c r="E11" s="57">
        <f>BL!L15/BL!L13</f>
        <v>0.47528818780043869</v>
      </c>
      <c r="F11" s="57">
        <f>BL!M15/BL!M13</f>
        <v>0.50779039817590677</v>
      </c>
      <c r="G11" s="58">
        <f>BL!N15/BL!N13</f>
        <v>0.51606142436822378</v>
      </c>
      <c r="I11" s="51">
        <f>AVERAGE(C11:G11)</f>
        <v>0.49578909336706489</v>
      </c>
      <c r="J11" s="51">
        <f>MEDIAN(C11:G11)</f>
        <v>0.50696995384760291</v>
      </c>
    </row>
    <row r="12" spans="2:10">
      <c r="B12" s="61" t="s">
        <v>110</v>
      </c>
      <c r="C12" s="51">
        <f>BL!J22/BL!J13</f>
        <v>0.1476405764340209</v>
      </c>
      <c r="D12" s="51">
        <f>BL!K22/BL!K13</f>
        <v>9.0800053307272005E-2</v>
      </c>
      <c r="E12" s="51">
        <f>BL!L22/BL!L13</f>
        <v>6.9071731927007982E-2</v>
      </c>
      <c r="F12" s="51">
        <f>BL!M22/BL!M13</f>
        <v>0.10746104800912047</v>
      </c>
      <c r="G12" s="60">
        <f>BL!N22/BL!N13</f>
        <v>0.1293780984240861</v>
      </c>
      <c r="I12" s="51">
        <f t="shared" ref="I12:I40" si="2">AVERAGE(C12:G12)</f>
        <v>0.10887030162030149</v>
      </c>
      <c r="J12" s="51">
        <f t="shared" ref="J12:J40" si="3">MEDIAN(C12:G12)</f>
        <v>0.10746104800912047</v>
      </c>
    </row>
    <row r="13" spans="2:10">
      <c r="B13" s="61" t="s">
        <v>111</v>
      </c>
      <c r="C13" s="51">
        <f>BL!J24/BL!J13</f>
        <v>9.3529245549590273E-2</v>
      </c>
      <c r="D13" s="51">
        <f>BL!K24/BL!K13</f>
        <v>2.9718804140198125E-2</v>
      </c>
      <c r="E13" s="51">
        <f>BL!L24/BL!L13</f>
        <v>1.2507583889485229E-2</v>
      </c>
      <c r="F13" s="51">
        <f>BL!M24/BL!M13</f>
        <v>5.645399653760081E-2</v>
      </c>
      <c r="G13" s="60">
        <f>BL!N24/BL!N13</f>
        <v>8.2866470517109353E-2</v>
      </c>
      <c r="I13" s="51">
        <f t="shared" si="2"/>
        <v>5.5015220126796757E-2</v>
      </c>
      <c r="J13" s="51">
        <f t="shared" si="3"/>
        <v>5.645399653760081E-2</v>
      </c>
    </row>
    <row r="14" spans="2:10">
      <c r="B14" s="61" t="s">
        <v>112</v>
      </c>
      <c r="C14" s="51">
        <f>BL!J24/BL!J13</f>
        <v>9.3529245549590273E-2</v>
      </c>
      <c r="D14" s="51">
        <f>BL!K24/BL!K13</f>
        <v>2.9718804140198125E-2</v>
      </c>
      <c r="E14" s="51">
        <f>BL!L24/BL!L13</f>
        <v>1.2507583889485229E-2</v>
      </c>
      <c r="F14" s="51">
        <f>BL!M24/BL!M13</f>
        <v>5.645399653760081E-2</v>
      </c>
      <c r="G14" s="60">
        <f>BL!N24/BL!N13</f>
        <v>8.2866470517109353E-2</v>
      </c>
      <c r="I14" s="51">
        <f t="shared" si="2"/>
        <v>5.5015220126796757E-2</v>
      </c>
      <c r="J14" s="51">
        <f t="shared" si="3"/>
        <v>5.645399653760081E-2</v>
      </c>
    </row>
    <row r="15" spans="2:10">
      <c r="B15" s="62" t="s">
        <v>115</v>
      </c>
      <c r="C15" s="64">
        <f>BL!J29/BL!J13</f>
        <v>7.0264669869077895E-2</v>
      </c>
      <c r="D15" s="64">
        <f>BL!K29/BL!K13</f>
        <v>1.1283372573408557E-2</v>
      </c>
      <c r="E15" s="64">
        <f>BL!L29/BL!L13</f>
        <v>-2.706865170112475E-3</v>
      </c>
      <c r="F15" s="64">
        <f>BL!M29/BL!M13</f>
        <v>3.4792889414347841E-2</v>
      </c>
      <c r="G15" s="65">
        <f>BL!N29/BL!N13</f>
        <v>5.5499576800612634E-2</v>
      </c>
      <c r="I15" s="51">
        <f t="shared" si="2"/>
        <v>3.382672869746689E-2</v>
      </c>
      <c r="J15" s="51">
        <f t="shared" si="3"/>
        <v>3.4792889414347841E-2</v>
      </c>
    </row>
    <row r="16" spans="2:10">
      <c r="C16" s="51"/>
      <c r="I16" s="51"/>
      <c r="J16" s="51"/>
    </row>
    <row r="17" spans="2:10">
      <c r="B17" s="66" t="s">
        <v>116</v>
      </c>
      <c r="C17" s="67">
        <f>BL!J14/BL!J13</f>
        <v>0.49303004615239709</v>
      </c>
      <c r="D17" s="67">
        <f>BL!K14/BL!K13</f>
        <v>0.52716449735684778</v>
      </c>
      <c r="E17" s="67">
        <f>BL!L14/BL!L13</f>
        <v>0.52475848228870114</v>
      </c>
      <c r="F17" s="67">
        <f>BL!M14/BL!M13</f>
        <v>0.49225182620445046</v>
      </c>
      <c r="G17" s="68">
        <f>BL!N14/BL!N13</f>
        <v>0.4838982709282173</v>
      </c>
      <c r="I17" s="51">
        <f t="shared" si="2"/>
        <v>0.50422062458612271</v>
      </c>
      <c r="J17" s="51">
        <f t="shared" si="3"/>
        <v>0.49303004615239709</v>
      </c>
    </row>
    <row r="18" spans="2:10">
      <c r="B18" s="61" t="s">
        <v>118</v>
      </c>
      <c r="C18" s="51">
        <f>SUM(BL!J18:J21)/BL!J13</f>
        <v>0.41876236224922292</v>
      </c>
      <c r="D18" s="51">
        <f>SUM(BL!K18:K21)/BL!K13</f>
        <v>0.45577717560303849</v>
      </c>
      <c r="E18" s="51">
        <f>SUM(BL!L18:L21)/BL!L13</f>
        <v>0.4699677976384935</v>
      </c>
      <c r="F18" s="51">
        <f>SUM(BL!M18:M21)/BL!M13</f>
        <v>0.46210361862939664</v>
      </c>
      <c r="G18" s="60">
        <f>SUM(BL!N18:N21)/BL!N13</f>
        <v>0.43815243238885976</v>
      </c>
      <c r="I18" s="51">
        <f t="shared" si="2"/>
        <v>0.44895267730180227</v>
      </c>
      <c r="J18" s="51">
        <f t="shared" si="3"/>
        <v>0.45577717560303849</v>
      </c>
    </row>
    <row r="19" spans="2:10">
      <c r="B19" s="62" t="s">
        <v>117</v>
      </c>
      <c r="C19" s="64">
        <f>C13</f>
        <v>9.3529245549590273E-2</v>
      </c>
      <c r="D19" s="64">
        <f t="shared" ref="D19:G19" si="4">D13</f>
        <v>2.9718804140198125E-2</v>
      </c>
      <c r="E19" s="64">
        <f t="shared" si="4"/>
        <v>1.2507583889485229E-2</v>
      </c>
      <c r="F19" s="64">
        <f t="shared" si="4"/>
        <v>5.645399653760081E-2</v>
      </c>
      <c r="G19" s="65">
        <f t="shared" si="4"/>
        <v>8.2866470517109353E-2</v>
      </c>
      <c r="I19" s="51">
        <f t="shared" si="2"/>
        <v>5.5015220126796757E-2</v>
      </c>
      <c r="J19" s="51">
        <f t="shared" si="3"/>
        <v>5.645399653760081E-2</v>
      </c>
    </row>
    <row r="21" spans="2:10">
      <c r="B21" s="66" t="s">
        <v>119</v>
      </c>
      <c r="C21" s="57">
        <f>BL!J24/(BL!C34-BL!C46)</f>
        <v>0.15077436987549347</v>
      </c>
      <c r="D21" s="57">
        <f>BL!K24/(BL!D34-BL!D46)</f>
        <v>6.0603315517709935E-2</v>
      </c>
      <c r="E21" s="57">
        <f>BL!L24/(BL!E34-BL!E46)</f>
        <v>2.6861782098827301E-2</v>
      </c>
      <c r="F21" s="57">
        <f>BL!M24/(BL!F34-BL!F46)</f>
        <v>0.12086421985174471</v>
      </c>
      <c r="G21" s="58">
        <f>BL!N24/(BL!G34-BL!G46)</f>
        <v>0.18409742120343839</v>
      </c>
      <c r="I21" s="51">
        <f>AVERAGE(C21:G21)</f>
        <v>0.10864022170944276</v>
      </c>
      <c r="J21" s="51">
        <f>MEDIAN(C21:G21)</f>
        <v>0.12086421985174471</v>
      </c>
    </row>
    <row r="22" spans="2:10">
      <c r="B22" s="61" t="s">
        <v>120</v>
      </c>
      <c r="C22" s="51">
        <f>(ABS(BL!J31)-ABS(BL!Q35))/BL!J31</f>
        <v>0.72891566265060237</v>
      </c>
      <c r="D22" s="51">
        <f>IF(BL!K31&lt;=0,0,(ABS(BL!K31)-ABS(BL!R35))/BL!K31)</f>
        <v>9.4043887147335428E-3</v>
      </c>
      <c r="E22" s="51">
        <f>IF(BL!L31&lt;=0,0,(ABS(BL!L31)-ABS(BL!S35))/BL!L31)</f>
        <v>0</v>
      </c>
      <c r="F22" s="51">
        <f>IF(BL!M31&lt;=0,0,(ABS(BL!M31)-ABS(BL!T35))/BL!M31)</f>
        <v>0.80168269230769229</v>
      </c>
      <c r="G22" s="51">
        <f>IF(BL!N31&lt;=0,0,(ABS(BL!N31)-ABS(BL!U35))/BL!N31)</f>
        <v>0.71191335740072204</v>
      </c>
      <c r="I22" s="51">
        <f t="shared" si="2"/>
        <v>0.45038322021475008</v>
      </c>
      <c r="J22" s="51">
        <f t="shared" si="3"/>
        <v>0.71191335740072204</v>
      </c>
    </row>
    <row r="23" spans="2:10">
      <c r="B23" s="61" t="s">
        <v>121</v>
      </c>
      <c r="C23" s="51">
        <f>DuPont!D19</f>
        <v>0.21202216853772915</v>
      </c>
      <c r="D23" s="51">
        <f>DuPont!E19</f>
        <v>4.0601023017902811E-2</v>
      </c>
      <c r="E23" s="51">
        <f>DuPont!F19</f>
        <v>-1.2117413558967931E-2</v>
      </c>
      <c r="F23" s="51">
        <f>DuPont!G19</f>
        <v>0.16386596400517053</v>
      </c>
      <c r="G23" s="51">
        <f>DuPont!H19</f>
        <v>0.2447564877355137</v>
      </c>
      <c r="I23" s="51">
        <f t="shared" si="2"/>
        <v>0.12982564594746965</v>
      </c>
      <c r="J23" s="51">
        <f t="shared" si="3"/>
        <v>0.16386596400517053</v>
      </c>
    </row>
    <row r="24" spans="2:10">
      <c r="B24" s="61" t="s">
        <v>122</v>
      </c>
      <c r="C24" s="51">
        <f>C22*C23</f>
        <v>0.15454627947629654</v>
      </c>
      <c r="D24" s="51">
        <f t="shared" ref="D24:G24" si="5">D22*D23</f>
        <v>3.8182780267620198E-4</v>
      </c>
      <c r="E24" s="51">
        <f t="shared" si="5"/>
        <v>0</v>
      </c>
      <c r="F24" s="51">
        <f t="shared" si="5"/>
        <v>0.1313685072012605</v>
      </c>
      <c r="G24" s="60">
        <f t="shared" si="5"/>
        <v>0.17424541292939821</v>
      </c>
      <c r="I24" s="51">
        <f t="shared" si="2"/>
        <v>9.2108405481926295E-2</v>
      </c>
      <c r="J24" s="51">
        <f t="shared" si="3"/>
        <v>0.1313685072012605</v>
      </c>
    </row>
    <row r="25" spans="2:10">
      <c r="B25" s="62" t="s">
        <v>123</v>
      </c>
      <c r="C25" s="69">
        <f>BL!J24/BL!J26</f>
        <v>12.980392156862745</v>
      </c>
      <c r="D25" s="69">
        <f>BL!K24/BL!K26</f>
        <v>2.0906250000000002</v>
      </c>
      <c r="E25" s="69">
        <f>BL!L24/BL!L26</f>
        <v>0.95035460992907805</v>
      </c>
      <c r="F25" s="69">
        <f>BL!M24/BL!M26</f>
        <v>4.2176656151419563</v>
      </c>
      <c r="G25" s="70">
        <f>BL!N24/BL!N26</f>
        <v>6.6322580645161286</v>
      </c>
      <c r="I25" s="7">
        <f>AVERAGE(C25:G25)</f>
        <v>5.374259089289982</v>
      </c>
      <c r="J25" s="7">
        <f t="shared" si="3"/>
        <v>4.2176656151419563</v>
      </c>
    </row>
    <row r="26" spans="2:10">
      <c r="I26" s="51"/>
      <c r="J26" s="51"/>
    </row>
    <row r="27" spans="2:10">
      <c r="B27" s="66" t="s">
        <v>124</v>
      </c>
      <c r="C27" s="71">
        <f>BL!J13/((1952+BL!C15)/2)</f>
        <v>10.29028349890962</v>
      </c>
      <c r="D27" s="71">
        <f>BL!K13/((BL!C15+BL!D15)/2)</f>
        <v>9.5710034013605441</v>
      </c>
      <c r="E27" s="71">
        <f>BL!L13/((BL!D15+BL!E15)/2)</f>
        <v>9.6626832018038336</v>
      </c>
      <c r="F27" s="71">
        <f>BL!M13/((BL!E15+BL!F15)/2)</f>
        <v>10.966890483908312</v>
      </c>
      <c r="G27" s="72">
        <f>BL!N13/((BL!F15+BL!G15)/2)</f>
        <v>9.8319793936992266</v>
      </c>
      <c r="I27" s="7">
        <f t="shared" si="2"/>
        <v>10.064567995936308</v>
      </c>
      <c r="J27" s="7">
        <f t="shared" si="3"/>
        <v>9.8319793936992266</v>
      </c>
    </row>
    <row r="28" spans="2:10">
      <c r="B28" s="61" t="s">
        <v>125</v>
      </c>
      <c r="C28" s="53">
        <f>BL!J14/((2390+BL!C38)/2)</f>
        <v>4.4701110162254487</v>
      </c>
      <c r="D28" s="53">
        <f>BL!K14/((BL!C38+BL!D38)/2)</f>
        <v>4.5624759707804694</v>
      </c>
      <c r="E28" s="53">
        <f>BL!L14/((BL!D38+BL!E38)/2)</f>
        <v>4.3379629629629628</v>
      </c>
      <c r="F28" s="53">
        <f>BL!M14/((BL!E38+BL!F38)/2)</f>
        <v>4.3402829486224865</v>
      </c>
      <c r="G28" s="73">
        <f>BL!N14/((BL!F38+BL!G38)/2)</f>
        <v>3.9980019980019978</v>
      </c>
      <c r="I28" s="7">
        <f t="shared" si="2"/>
        <v>4.3417669793186731</v>
      </c>
      <c r="J28" s="7">
        <f t="shared" si="3"/>
        <v>4.3402829486224865</v>
      </c>
    </row>
    <row r="29" spans="2:10">
      <c r="B29" s="61" t="s">
        <v>126</v>
      </c>
      <c r="C29" s="53">
        <f>BL!J14/((4397+BL!C17)/2)</f>
        <v>2.4908398762788484</v>
      </c>
      <c r="D29" s="53">
        <f>BL!K14/((BL!C17+BL!D17)/2)</f>
        <v>2.3776798236826289</v>
      </c>
      <c r="E29" s="53">
        <f>BL!L14/((BL!D17+BL!E17)/2)</f>
        <v>2.1421223090112402</v>
      </c>
      <c r="F29" s="53">
        <f>BL!M14/((BL!E17+BL!F17)/2)</f>
        <v>2.4507042253521125</v>
      </c>
      <c r="G29" s="73">
        <f>BL!N14/((BL!F17+BL!G17)/2)</f>
        <v>2.2190185749930689</v>
      </c>
      <c r="I29" s="7">
        <f t="shared" si="2"/>
        <v>2.3360729618635796</v>
      </c>
      <c r="J29" s="7">
        <f t="shared" si="3"/>
        <v>2.3776798236826289</v>
      </c>
    </row>
    <row r="30" spans="2:10">
      <c r="B30" s="61" t="s">
        <v>127</v>
      </c>
      <c r="C30" s="53">
        <f>BL!J13/((4839+BL!C23+BL!C24+BL!C27)/2)</f>
        <v>4.2468000000000004</v>
      </c>
      <c r="D30" s="53">
        <f>BL!K13/((BL!C23+BL!C24+BL!C27+BL!D23+BL!D24+BL!D27)/2)</f>
        <v>4.273970001898614</v>
      </c>
      <c r="E30" s="53">
        <f>BL!L13/((BL!D23+BL!D24+BL!D27+BL!E23+BL!E24+BL!E27)/2)</f>
        <v>4.1935610137978276</v>
      </c>
      <c r="F30" s="53">
        <f>BL!M13/((BL!E23+BL!E24+BL!E27+BL!F23+BL!F24+BL!F27)/2)</f>
        <v>4.6510212097407697</v>
      </c>
      <c r="G30" s="73">
        <f>BL!N13/((BL!F23+BL!F24+BL!F27+BL!G23+BL!G24+BL!G27)/2)</f>
        <v>4.7902307172506999</v>
      </c>
      <c r="I30" s="7">
        <f t="shared" si="2"/>
        <v>4.4311165885375825</v>
      </c>
      <c r="J30" s="7">
        <f t="shared" si="3"/>
        <v>4.273970001898614</v>
      </c>
    </row>
    <row r="31" spans="2:10">
      <c r="B31" s="62" t="s">
        <v>128</v>
      </c>
      <c r="C31" s="69">
        <f>BL!J13/(BL!C34-BL!C46)</f>
        <v>1.6120558761008199</v>
      </c>
      <c r="D31" s="69">
        <f>BL!K13/(BL!D34-BL!D46)</f>
        <v>2.039224567442703</v>
      </c>
      <c r="E31" s="69">
        <f>BL!L13/(BL!E34-BL!E46)</f>
        <v>2.1476395710133307</v>
      </c>
      <c r="F31" s="69">
        <f>BL!M13/(BL!F34-BL!F46)</f>
        <v>2.1409329235219672</v>
      </c>
      <c r="G31" s="70">
        <f>BL!N13/(BL!G34-BL!G46)</f>
        <v>2.2216153295128942</v>
      </c>
      <c r="I31" s="7">
        <f t="shared" si="2"/>
        <v>2.0322936535183431</v>
      </c>
      <c r="J31" s="7">
        <f t="shared" si="3"/>
        <v>2.1409329235219672</v>
      </c>
    </row>
    <row r="32" spans="2:10">
      <c r="I32" s="51"/>
      <c r="J32" s="51"/>
    </row>
    <row r="33" spans="2:10">
      <c r="B33" s="66" t="s">
        <v>129</v>
      </c>
      <c r="C33" s="74">
        <f>365/C27</f>
        <v>35.470354149006312</v>
      </c>
      <c r="D33" s="74">
        <f t="shared" ref="D33:G33" si="6">365/D27</f>
        <v>38.13602238905424</v>
      </c>
      <c r="E33" s="74">
        <f t="shared" si="6"/>
        <v>37.774186773696734</v>
      </c>
      <c r="F33" s="74">
        <f t="shared" si="6"/>
        <v>33.281995524215681</v>
      </c>
      <c r="G33" s="75">
        <f t="shared" si="6"/>
        <v>37.123755592277618</v>
      </c>
      <c r="I33" s="7">
        <f t="shared" si="2"/>
        <v>36.357262885650115</v>
      </c>
      <c r="J33" s="7">
        <f t="shared" si="3"/>
        <v>37.123755592277618</v>
      </c>
    </row>
    <row r="34" spans="2:10">
      <c r="B34" s="61" t="s">
        <v>130</v>
      </c>
      <c r="C34" s="54">
        <f>365/C28</f>
        <v>81.653453051867416</v>
      </c>
      <c r="D34" s="54">
        <f t="shared" ref="D34:G34" si="7">365/D28</f>
        <v>80.000421336479306</v>
      </c>
      <c r="E34" s="54">
        <f t="shared" si="7"/>
        <v>84.140875133404492</v>
      </c>
      <c r="F34" s="54">
        <f t="shared" si="7"/>
        <v>84.09589981128839</v>
      </c>
      <c r="G34" s="76">
        <f t="shared" si="7"/>
        <v>91.295602198900554</v>
      </c>
      <c r="I34" s="7">
        <f t="shared" si="2"/>
        <v>84.237250306388034</v>
      </c>
      <c r="J34" s="7">
        <f t="shared" si="3"/>
        <v>84.09589981128839</v>
      </c>
    </row>
    <row r="35" spans="2:10">
      <c r="B35" s="61" t="s">
        <v>131</v>
      </c>
      <c r="C35" s="54">
        <f>365/C29</f>
        <v>146.53691852134875</v>
      </c>
      <c r="D35" s="54">
        <f t="shared" ref="D35:G35" si="8">365/D29</f>
        <v>153.51099688211005</v>
      </c>
      <c r="E35" s="54">
        <f t="shared" si="8"/>
        <v>170.39176449662043</v>
      </c>
      <c r="F35" s="54">
        <f t="shared" si="8"/>
        <v>148.93678160919541</v>
      </c>
      <c r="G35" s="76">
        <f t="shared" si="8"/>
        <v>164.48713143428287</v>
      </c>
      <c r="I35" s="7">
        <f t="shared" si="2"/>
        <v>156.77271858871148</v>
      </c>
      <c r="J35" s="7">
        <f t="shared" si="3"/>
        <v>153.51099688211005</v>
      </c>
    </row>
    <row r="36" spans="2:10">
      <c r="B36" s="62" t="s">
        <v>132</v>
      </c>
      <c r="C36" s="77">
        <f>C33+C35-C34</f>
        <v>100.35381961848765</v>
      </c>
      <c r="D36" s="77">
        <f t="shared" ref="D36:G36" si="9">D33+D35-D34</f>
        <v>111.64659793468498</v>
      </c>
      <c r="E36" s="77">
        <f t="shared" si="9"/>
        <v>124.02507613691266</v>
      </c>
      <c r="F36" s="77">
        <f t="shared" si="9"/>
        <v>98.122877322122704</v>
      </c>
      <c r="G36" s="78">
        <f t="shared" si="9"/>
        <v>110.31528482765992</v>
      </c>
      <c r="I36" s="7">
        <f t="shared" si="2"/>
        <v>108.89273116797358</v>
      </c>
      <c r="J36" s="7">
        <f t="shared" si="3"/>
        <v>110.31528482765992</v>
      </c>
    </row>
    <row r="37" spans="2:10">
      <c r="I37" s="7"/>
      <c r="J37" s="7"/>
    </row>
    <row r="38" spans="2:10">
      <c r="B38" s="66" t="s">
        <v>133</v>
      </c>
      <c r="C38" s="57">
        <f>BL!Q23/BL!J13</f>
        <v>0.15032495055100312</v>
      </c>
      <c r="D38" s="57">
        <f>BL!R23/BL!K13</f>
        <v>-2.4121540580160809E-2</v>
      </c>
      <c r="E38" s="57">
        <f>BL!S23/BL!L13</f>
        <v>0.11900872730666916</v>
      </c>
      <c r="F38" s="57">
        <f>BL!T23/BL!M13</f>
        <v>0.12287294683950513</v>
      </c>
      <c r="G38" s="58">
        <f>BL!U23/BL!N13</f>
        <v>3.0268832372737899E-2</v>
      </c>
      <c r="I38" s="7">
        <f t="shared" si="2"/>
        <v>7.9670783297950895E-2</v>
      </c>
      <c r="J38" s="7">
        <f t="shared" si="3"/>
        <v>0.11900872730666916</v>
      </c>
    </row>
    <row r="39" spans="2:10">
      <c r="B39" s="61" t="s">
        <v>134</v>
      </c>
      <c r="C39" s="51">
        <f>BL!Q23/(AVERAGE(BL!C34,21053))</f>
        <v>0.14781199351701782</v>
      </c>
      <c r="D39" s="51">
        <f>BL!R23/(AVERAGE(BL!C34:D34))</f>
        <v>-2.559328824264134E-2</v>
      </c>
      <c r="E39" s="51">
        <f>BL!S23/(AVERAGE(BL!D34:E34))</f>
        <v>0.13310366426558096</v>
      </c>
      <c r="F39" s="51">
        <f>BL!T23/(AVERAGE(BL!E34:F34))</f>
        <v>0.15048480930833871</v>
      </c>
      <c r="G39" s="60">
        <f>BL!U23/(AVERAGE(BL!F34:G34))</f>
        <v>3.6708458586895421E-2</v>
      </c>
      <c r="I39" s="7">
        <f t="shared" si="2"/>
        <v>8.8503127487038327E-2</v>
      </c>
      <c r="J39" s="7">
        <f t="shared" si="3"/>
        <v>0.13310366426558096</v>
      </c>
    </row>
    <row r="40" spans="2:10">
      <c r="B40" s="62" t="s">
        <v>135</v>
      </c>
      <c r="C40" s="64">
        <f>BL!Q30/((5890+BL!C37+BL!C39+BL!C48+BL!C49)/2)</f>
        <v>-7.5572587113447998E-2</v>
      </c>
      <c r="D40" s="64">
        <f>BL!Q23/((BL!C37+BL!C39+BL!C48+BL!C49+BL!D37+BL!D39+BL!D48+BL!D49)/2)</f>
        <v>0.54147582697201013</v>
      </c>
      <c r="E40" s="64">
        <f>BL!R23/((BL!D37+BL!D39+BL!D48+BL!D49+BL!E37+BL!E39+BL!E48+BL!E49)/2)</f>
        <v>-9.033438695724505E-2</v>
      </c>
      <c r="F40" s="64">
        <f>BL!S23/((BL!E37+BL!E39+BL!E48+BL!E49+BL!F37+BL!F39+BL!F48+BL!F49)/2)</f>
        <v>0.45739910313901344</v>
      </c>
      <c r="G40" s="65">
        <f>BL!T23/((BL!F37+BL!F39+BL!F48+BL!F49+BL!G37+BL!G39+BL!G48+BL!G49)/2)</f>
        <v>0.52239475810070912</v>
      </c>
      <c r="I40" s="7">
        <f t="shared" si="2"/>
        <v>0.27107254282820792</v>
      </c>
      <c r="J40" s="7">
        <f t="shared" si="3"/>
        <v>0.45739910313901344</v>
      </c>
    </row>
    <row r="41" spans="2:10">
      <c r="D41" t="s">
        <v>47</v>
      </c>
      <c r="F41" t="s">
        <v>47</v>
      </c>
    </row>
  </sheetData>
  <pageMargins left="0.7" right="0.7" top="0.75" bottom="0.75" header="0.3" footer="0.3"/>
  <ignoredErrors>
    <ignoredError sqref="C18:G18"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AAD66-2615-4E9E-972F-A525C6F0A668}">
  <dimension ref="A1:R58"/>
  <sheetViews>
    <sheetView showGridLines="0" topLeftCell="A19" zoomScale="89" zoomScaleNormal="76" workbookViewId="0">
      <selection activeCell="J43" sqref="J43"/>
    </sheetView>
  </sheetViews>
  <sheetFormatPr defaultRowHeight="14.4"/>
  <cols>
    <col min="1" max="1" width="4.6640625" customWidth="1"/>
    <col min="2" max="2" width="30.109375" customWidth="1"/>
    <col min="10" max="10" width="22.77734375" customWidth="1"/>
  </cols>
  <sheetData>
    <row r="1" spans="1:18">
      <c r="A1" s="1"/>
      <c r="B1" s="1"/>
      <c r="C1" s="1"/>
      <c r="D1" s="1"/>
      <c r="E1" s="1"/>
      <c r="F1" s="1"/>
      <c r="G1" s="1"/>
      <c r="H1" s="1"/>
    </row>
    <row r="2" spans="1:18" ht="18">
      <c r="A2" s="1"/>
      <c r="B2" s="79"/>
      <c r="C2" s="234" t="s">
        <v>138</v>
      </c>
      <c r="D2" s="234"/>
      <c r="E2" s="234"/>
      <c r="F2" s="234"/>
      <c r="G2" s="234"/>
      <c r="H2" s="79"/>
      <c r="I2" s="2"/>
    </row>
    <row r="3" spans="1:18" ht="18">
      <c r="A3" s="1"/>
      <c r="B3" s="79"/>
      <c r="C3" s="234"/>
      <c r="D3" s="234"/>
      <c r="E3" s="234"/>
      <c r="F3" s="234"/>
      <c r="G3" s="234"/>
      <c r="H3" s="79"/>
      <c r="I3" s="2"/>
    </row>
    <row r="4" spans="1:18" ht="14.4" customHeight="1">
      <c r="A4" s="1"/>
      <c r="B4" s="79"/>
      <c r="C4" s="79"/>
      <c r="D4" s="79"/>
      <c r="E4" s="79"/>
      <c r="F4" s="79"/>
      <c r="G4" s="79"/>
      <c r="H4" s="79"/>
    </row>
    <row r="5" spans="1:18">
      <c r="A5" s="1"/>
      <c r="B5" s="1"/>
      <c r="C5" s="1"/>
      <c r="D5" s="1"/>
      <c r="E5" s="1"/>
      <c r="F5" s="1"/>
      <c r="G5" s="1"/>
      <c r="H5" s="1"/>
    </row>
    <row r="6" spans="1:18" ht="21.6" thickBot="1">
      <c r="R6" s="83" t="s">
        <v>141</v>
      </c>
    </row>
    <row r="7" spans="1:18" ht="21">
      <c r="A7" s="80"/>
      <c r="B7" s="241" t="s">
        <v>139</v>
      </c>
      <c r="C7" s="80"/>
      <c r="D7" s="80"/>
      <c r="E7" s="80"/>
      <c r="F7" s="80"/>
      <c r="G7" s="80"/>
      <c r="H7" s="80"/>
    </row>
    <row r="8" spans="1:18" ht="54.6" customHeight="1">
      <c r="B8" s="237" t="s">
        <v>140</v>
      </c>
      <c r="C8" s="237"/>
      <c r="D8" s="237"/>
      <c r="E8" s="237"/>
      <c r="F8" s="237"/>
      <c r="G8" s="237"/>
    </row>
    <row r="9" spans="1:18" ht="14.4" customHeight="1">
      <c r="B9" s="237"/>
      <c r="C9" s="237"/>
      <c r="D9" s="237"/>
      <c r="E9" s="237"/>
      <c r="F9" s="237"/>
      <c r="G9" s="237"/>
    </row>
    <row r="10" spans="1:18" ht="14.4" customHeight="1">
      <c r="B10" s="237"/>
      <c r="C10" s="237"/>
      <c r="D10" s="237"/>
      <c r="E10" s="237"/>
      <c r="F10" s="237"/>
      <c r="G10" s="237"/>
    </row>
    <row r="11" spans="1:18" ht="14.4" customHeight="1">
      <c r="B11" s="237"/>
      <c r="C11" s="237"/>
      <c r="D11" s="237"/>
      <c r="E11" s="237"/>
      <c r="F11" s="237"/>
      <c r="G11" s="237"/>
    </row>
    <row r="12" spans="1:18" ht="4.2" customHeight="1"/>
    <row r="13" spans="1:18" ht="23.4">
      <c r="B13" s="240" t="s">
        <v>142</v>
      </c>
    </row>
    <row r="14" spans="1:18" ht="6.6" customHeight="1"/>
    <row r="15" spans="1:18" ht="18">
      <c r="B15" s="239" t="s">
        <v>145</v>
      </c>
      <c r="C15" s="239"/>
      <c r="D15" s="239"/>
      <c r="E15" s="239"/>
      <c r="F15" s="239"/>
      <c r="G15" s="239"/>
      <c r="H15" s="239"/>
    </row>
    <row r="16" spans="1:18">
      <c r="C16" s="6">
        <v>2020</v>
      </c>
      <c r="D16" s="6">
        <v>2021</v>
      </c>
      <c r="E16" s="6">
        <v>2022</v>
      </c>
      <c r="F16" s="6">
        <v>2023</v>
      </c>
      <c r="G16" s="6">
        <v>2024</v>
      </c>
      <c r="H16" s="6">
        <v>2025</v>
      </c>
    </row>
    <row r="17" spans="2:10">
      <c r="B17" s="38" t="s">
        <v>68</v>
      </c>
      <c r="C17" s="7">
        <v>461</v>
      </c>
      <c r="D17" s="7">
        <f>BL!J29</f>
        <v>1492</v>
      </c>
      <c r="E17" s="7">
        <f>BL!K29</f>
        <v>254</v>
      </c>
      <c r="F17" s="7">
        <f>BL!L29</f>
        <v>-58</v>
      </c>
      <c r="G17" s="7">
        <f>BL!M29</f>
        <v>824</v>
      </c>
      <c r="H17" s="7">
        <f>BL!N29</f>
        <v>1377</v>
      </c>
    </row>
    <row r="18" spans="2:10">
      <c r="B18" s="38" t="s">
        <v>144</v>
      </c>
      <c r="C18" s="81">
        <v>6554</v>
      </c>
      <c r="D18" s="7">
        <f>(C18+BL!C62)/2</f>
        <v>7037</v>
      </c>
      <c r="E18" s="7">
        <f>(BL!C62+BL!D62)/2</f>
        <v>6256</v>
      </c>
      <c r="F18" s="7">
        <f>(BL!D62+BL!E62)/2</f>
        <v>4786.5</v>
      </c>
      <c r="G18" s="7">
        <f>(BL!E62+BL!F62)/2</f>
        <v>5028.5</v>
      </c>
      <c r="H18" s="7">
        <f>(BL!F62+BL!G62)/2</f>
        <v>5626</v>
      </c>
    </row>
    <row r="19" spans="2:10">
      <c r="B19" s="5" t="s">
        <v>121</v>
      </c>
      <c r="C19" s="5"/>
      <c r="D19" s="242">
        <f>D17/D18</f>
        <v>0.21202216853772915</v>
      </c>
      <c r="E19" s="242">
        <f t="shared" ref="E19:H19" si="0">E17/E18</f>
        <v>4.0601023017902811E-2</v>
      </c>
      <c r="F19" s="242">
        <f t="shared" si="0"/>
        <v>-1.2117413558967931E-2</v>
      </c>
      <c r="G19" s="242">
        <f t="shared" si="0"/>
        <v>0.16386596400517053</v>
      </c>
      <c r="H19" s="242">
        <f t="shared" si="0"/>
        <v>0.2447564877355137</v>
      </c>
    </row>
    <row r="21" spans="2:10" ht="18">
      <c r="B21" s="239" t="s">
        <v>146</v>
      </c>
      <c r="C21" s="239"/>
      <c r="D21" s="239"/>
      <c r="E21" s="239"/>
      <c r="F21" s="239"/>
      <c r="G21" s="239"/>
      <c r="H21" s="239"/>
      <c r="J21" t="s">
        <v>47</v>
      </c>
    </row>
    <row r="22" spans="2:10">
      <c r="C22" s="6">
        <v>2020</v>
      </c>
      <c r="D22" s="6">
        <v>2021</v>
      </c>
      <c r="E22" s="6">
        <v>2022</v>
      </c>
      <c r="F22" s="6">
        <v>2023</v>
      </c>
      <c r="G22" s="6">
        <v>2024</v>
      </c>
      <c r="H22" s="6">
        <v>2025</v>
      </c>
    </row>
    <row r="23" spans="2:10">
      <c r="B23" s="38" t="s">
        <v>68</v>
      </c>
      <c r="C23" s="81">
        <f>C17</f>
        <v>461</v>
      </c>
      <c r="D23" s="7">
        <f t="shared" ref="D23:H23" si="1">D17</f>
        <v>1492</v>
      </c>
      <c r="E23" s="7">
        <f t="shared" si="1"/>
        <v>254</v>
      </c>
      <c r="F23" s="7">
        <f t="shared" si="1"/>
        <v>-58</v>
      </c>
      <c r="G23" s="7">
        <f t="shared" si="1"/>
        <v>824</v>
      </c>
      <c r="H23" s="7">
        <f t="shared" si="1"/>
        <v>1377</v>
      </c>
    </row>
    <row r="24" spans="2:10">
      <c r="B24" s="38" t="s">
        <v>147</v>
      </c>
      <c r="C24" s="81"/>
      <c r="D24" s="7">
        <f>BL!J13</f>
        <v>21234</v>
      </c>
      <c r="E24" s="7">
        <f>BL!K13</f>
        <v>22511</v>
      </c>
      <c r="F24" s="7">
        <f>BL!L13</f>
        <v>21427</v>
      </c>
      <c r="G24" s="7">
        <f>BL!M13</f>
        <v>23683</v>
      </c>
      <c r="H24" s="7">
        <f>BL!N13</f>
        <v>24811</v>
      </c>
    </row>
    <row r="25" spans="2:10">
      <c r="B25" s="5" t="s">
        <v>113</v>
      </c>
      <c r="C25" s="5"/>
      <c r="D25" s="242">
        <f>D23/D24</f>
        <v>7.0264669869077895E-2</v>
      </c>
      <c r="E25" s="242">
        <f t="shared" ref="E25" si="2">E23/E24</f>
        <v>1.1283372573408557E-2</v>
      </c>
      <c r="F25" s="242">
        <f t="shared" ref="F25" si="3">F23/F24</f>
        <v>-2.706865170112475E-3</v>
      </c>
      <c r="G25" s="242">
        <f t="shared" ref="G25" si="4">G23/G24</f>
        <v>3.4792889414347841E-2</v>
      </c>
      <c r="H25" s="242">
        <f t="shared" ref="H25" si="5">H23/H24</f>
        <v>5.5499576800612634E-2</v>
      </c>
    </row>
    <row r="27" spans="2:10">
      <c r="B27" s="38" t="s">
        <v>147</v>
      </c>
      <c r="D27" s="7">
        <f>D24</f>
        <v>21234</v>
      </c>
      <c r="E27" s="7">
        <f t="shared" ref="E27:H27" si="6">E24</f>
        <v>22511</v>
      </c>
      <c r="F27" s="7">
        <f t="shared" si="6"/>
        <v>21427</v>
      </c>
      <c r="G27" s="7">
        <f t="shared" si="6"/>
        <v>23683</v>
      </c>
      <c r="H27" s="7">
        <f t="shared" si="6"/>
        <v>24811</v>
      </c>
    </row>
    <row r="28" spans="2:10">
      <c r="B28" s="38" t="s">
        <v>148</v>
      </c>
      <c r="C28" s="81">
        <v>21053</v>
      </c>
      <c r="D28" s="7">
        <f>(C28+BL!C34)/2</f>
        <v>21595</v>
      </c>
      <c r="E28" s="7">
        <f>(BL!C34+BL!D34)/2</f>
        <v>21216.5</v>
      </c>
      <c r="F28" s="7">
        <f>(BL!D34+BL!E34)/2</f>
        <v>19158</v>
      </c>
      <c r="G28" s="7">
        <f>(BL!E34+BL!F34)/2</f>
        <v>19337.5</v>
      </c>
      <c r="H28" s="7">
        <f>(BL!F34+BL!G34)/2</f>
        <v>20458.5</v>
      </c>
    </row>
    <row r="29" spans="2:10">
      <c r="B29" s="5" t="s">
        <v>149</v>
      </c>
      <c r="C29" s="5"/>
      <c r="D29" s="243">
        <f>D27/D28</f>
        <v>0.9832831673998611</v>
      </c>
      <c r="E29" s="243">
        <f t="shared" ref="E29:H29" si="7">E27/E28</f>
        <v>1.0610138335729267</v>
      </c>
      <c r="F29" s="243">
        <f t="shared" si="7"/>
        <v>1.1184361624386678</v>
      </c>
      <c r="G29" s="243">
        <f t="shared" si="7"/>
        <v>1.2247188106011635</v>
      </c>
      <c r="H29" s="243">
        <f t="shared" si="7"/>
        <v>1.2127477576557422</v>
      </c>
    </row>
    <row r="30" spans="2:10">
      <c r="C30" t="s">
        <v>47</v>
      </c>
    </row>
    <row r="31" spans="2:10">
      <c r="B31" s="38" t="s">
        <v>148</v>
      </c>
      <c r="C31" s="7"/>
      <c r="D31" s="7">
        <f t="shared" ref="D31:H31" si="8">D28</f>
        <v>21595</v>
      </c>
      <c r="E31" s="7">
        <f t="shared" si="8"/>
        <v>21216.5</v>
      </c>
      <c r="F31" s="7">
        <f t="shared" si="8"/>
        <v>19158</v>
      </c>
      <c r="G31" s="7">
        <f t="shared" si="8"/>
        <v>19337.5</v>
      </c>
      <c r="H31" s="7">
        <f t="shared" si="8"/>
        <v>20458.5</v>
      </c>
    </row>
    <row r="32" spans="2:10">
      <c r="B32" s="38" t="s">
        <v>143</v>
      </c>
      <c r="C32" s="7"/>
      <c r="D32" s="7">
        <f>D18</f>
        <v>7037</v>
      </c>
      <c r="E32" s="7">
        <f t="shared" ref="E32:H32" si="9">E18</f>
        <v>6256</v>
      </c>
      <c r="F32" s="7">
        <f t="shared" si="9"/>
        <v>4786.5</v>
      </c>
      <c r="G32" s="7">
        <f t="shared" si="9"/>
        <v>5028.5</v>
      </c>
      <c r="H32" s="7">
        <f t="shared" si="9"/>
        <v>5626</v>
      </c>
    </row>
    <row r="33" spans="2:8">
      <c r="B33" s="5" t="s">
        <v>150</v>
      </c>
      <c r="C33" s="5"/>
      <c r="D33" s="243">
        <f>D31/D32</f>
        <v>3.0687793093647859</v>
      </c>
      <c r="E33" s="243">
        <f t="shared" ref="E33:G33" si="10">E31/E32</f>
        <v>3.3913842710997444</v>
      </c>
      <c r="F33" s="243">
        <f t="shared" si="10"/>
        <v>4.0025070510811656</v>
      </c>
      <c r="G33" s="243">
        <f t="shared" si="10"/>
        <v>3.8455801929004672</v>
      </c>
      <c r="H33" s="243">
        <f>H31/H32</f>
        <v>3.6364201919658727</v>
      </c>
    </row>
    <row r="35" spans="2:8">
      <c r="B35" s="5" t="s">
        <v>121</v>
      </c>
      <c r="C35" s="5"/>
      <c r="D35" s="242">
        <f>D25*D29*D33</f>
        <v>0.21202216853772912</v>
      </c>
      <c r="E35" s="242">
        <f t="shared" ref="E35:H35" si="11">E25*E29*E33</f>
        <v>4.0601023017902818E-2</v>
      </c>
      <c r="F35" s="242">
        <f t="shared" si="11"/>
        <v>-1.211741355896793E-2</v>
      </c>
      <c r="G35" s="242">
        <f t="shared" si="11"/>
        <v>0.16386596400517051</v>
      </c>
      <c r="H35" s="242">
        <f t="shared" si="11"/>
        <v>0.2447564877355137</v>
      </c>
    </row>
    <row r="37" spans="2:8" ht="18">
      <c r="B37" s="239" t="s">
        <v>151</v>
      </c>
      <c r="C37" s="239"/>
      <c r="D37" s="239"/>
      <c r="E37" s="239"/>
      <c r="F37" s="239"/>
      <c r="G37" s="239"/>
      <c r="H37" s="239"/>
    </row>
    <row r="38" spans="2:8">
      <c r="C38" s="6">
        <v>2020</v>
      </c>
      <c r="D38" s="6">
        <v>2021</v>
      </c>
      <c r="E38" s="6">
        <v>2022</v>
      </c>
      <c r="F38" s="6">
        <v>2023</v>
      </c>
      <c r="G38" s="6">
        <v>2024</v>
      </c>
      <c r="H38" s="6">
        <v>2025</v>
      </c>
    </row>
    <row r="39" spans="2:8">
      <c r="B39" s="38" t="s">
        <v>68</v>
      </c>
      <c r="C39" s="81">
        <f>C17</f>
        <v>461</v>
      </c>
      <c r="D39" s="7">
        <f t="shared" ref="D39:H39" si="12">D17</f>
        <v>1492</v>
      </c>
      <c r="E39" s="7">
        <f t="shared" si="12"/>
        <v>254</v>
      </c>
      <c r="F39" s="7">
        <f t="shared" si="12"/>
        <v>-58</v>
      </c>
      <c r="G39" s="7">
        <f t="shared" si="12"/>
        <v>824</v>
      </c>
      <c r="H39" s="7">
        <f t="shared" si="12"/>
        <v>1377</v>
      </c>
    </row>
    <row r="40" spans="2:8">
      <c r="B40" s="38" t="s">
        <v>148</v>
      </c>
      <c r="C40" s="81">
        <f>C28</f>
        <v>21053</v>
      </c>
      <c r="D40" s="7">
        <f>D28</f>
        <v>21595</v>
      </c>
      <c r="E40" s="7">
        <f t="shared" ref="E40:H40" si="13">E28</f>
        <v>21216.5</v>
      </c>
      <c r="F40" s="7">
        <f t="shared" si="13"/>
        <v>19158</v>
      </c>
      <c r="G40" s="7">
        <f t="shared" si="13"/>
        <v>19337.5</v>
      </c>
      <c r="H40" s="7">
        <f t="shared" si="13"/>
        <v>20458.5</v>
      </c>
    </row>
    <row r="41" spans="2:8">
      <c r="B41" s="5" t="s">
        <v>152</v>
      </c>
      <c r="C41" s="5"/>
      <c r="D41" s="242">
        <f>D39/D40</f>
        <v>6.909006714517249E-2</v>
      </c>
      <c r="E41" s="242">
        <f t="shared" ref="E41" si="14">E39/E40</f>
        <v>1.1971814389743832E-2</v>
      </c>
      <c r="F41" s="242">
        <f t="shared" ref="F41" si="15">F39/F40</f>
        <v>-3.0274558930994885E-3</v>
      </c>
      <c r="G41" s="242">
        <f t="shared" ref="G41" si="16">G39/G40</f>
        <v>4.2611506140917903E-2</v>
      </c>
      <c r="H41" s="242">
        <f t="shared" ref="H41" si="17">H39/H40</f>
        <v>6.7306987315785619E-2</v>
      </c>
    </row>
    <row r="43" spans="2:8" ht="18">
      <c r="B43" s="239" t="s">
        <v>153</v>
      </c>
      <c r="C43" s="239"/>
      <c r="D43" s="239"/>
      <c r="E43" s="239"/>
      <c r="F43" s="239"/>
      <c r="G43" s="239"/>
      <c r="H43" s="239"/>
    </row>
    <row r="44" spans="2:8">
      <c r="C44" s="6">
        <v>2020</v>
      </c>
      <c r="D44" s="6">
        <v>2021</v>
      </c>
      <c r="E44" s="6">
        <v>2022</v>
      </c>
      <c r="F44" s="6">
        <v>2023</v>
      </c>
      <c r="G44" s="6">
        <v>2024</v>
      </c>
      <c r="H44" s="6">
        <v>2025</v>
      </c>
    </row>
    <row r="45" spans="2:8">
      <c r="B45" s="38" t="s">
        <v>68</v>
      </c>
      <c r="C45" s="7"/>
      <c r="D45" s="7">
        <f>D23</f>
        <v>1492</v>
      </c>
      <c r="E45" s="7">
        <f t="shared" ref="E45:H45" si="18">E23</f>
        <v>254</v>
      </c>
      <c r="F45" s="7">
        <f t="shared" si="18"/>
        <v>-58</v>
      </c>
      <c r="G45" s="7">
        <f t="shared" si="18"/>
        <v>824</v>
      </c>
      <c r="H45" s="7">
        <f t="shared" si="18"/>
        <v>1377</v>
      </c>
    </row>
    <row r="46" spans="2:8">
      <c r="B46" s="38" t="s">
        <v>147</v>
      </c>
      <c r="C46" s="81"/>
      <c r="D46" s="7">
        <f>D24</f>
        <v>21234</v>
      </c>
      <c r="E46" s="7">
        <f t="shared" ref="E46:H46" si="19">E24</f>
        <v>22511</v>
      </c>
      <c r="F46" s="7">
        <f t="shared" si="19"/>
        <v>21427</v>
      </c>
      <c r="G46" s="7">
        <f t="shared" si="19"/>
        <v>23683</v>
      </c>
      <c r="H46" s="7">
        <f t="shared" si="19"/>
        <v>24811</v>
      </c>
    </row>
    <row r="47" spans="2:8">
      <c r="B47" s="5" t="s">
        <v>113</v>
      </c>
      <c r="C47" s="5"/>
      <c r="D47" s="242">
        <f>D45/D46</f>
        <v>7.0264669869077895E-2</v>
      </c>
      <c r="E47" s="242">
        <f t="shared" ref="E47" si="20">E45/E46</f>
        <v>1.1283372573408557E-2</v>
      </c>
      <c r="F47" s="242">
        <f t="shared" ref="F47" si="21">F45/F46</f>
        <v>-2.706865170112475E-3</v>
      </c>
      <c r="G47" s="242">
        <f t="shared" ref="G47" si="22">G45/G46</f>
        <v>3.4792889414347841E-2</v>
      </c>
      <c r="H47" s="242">
        <f t="shared" ref="H47" si="23">H45/H46</f>
        <v>5.5499576800612634E-2</v>
      </c>
    </row>
    <row r="49" spans="2:8">
      <c r="B49" t="s">
        <v>147</v>
      </c>
      <c r="D49" s="7">
        <f>D46</f>
        <v>21234</v>
      </c>
      <c r="E49" s="7">
        <f t="shared" ref="E49:H49" si="24">E46</f>
        <v>22511</v>
      </c>
      <c r="F49" s="7">
        <f t="shared" si="24"/>
        <v>21427</v>
      </c>
      <c r="G49" s="7">
        <f t="shared" si="24"/>
        <v>23683</v>
      </c>
      <c r="H49" s="7">
        <f t="shared" si="24"/>
        <v>24811</v>
      </c>
    </row>
    <row r="50" spans="2:8">
      <c r="B50" t="s">
        <v>148</v>
      </c>
      <c r="D50" s="7">
        <f>D40</f>
        <v>21595</v>
      </c>
      <c r="E50" s="7">
        <f t="shared" ref="E50:H50" si="25">E40</f>
        <v>21216.5</v>
      </c>
      <c r="F50" s="7">
        <f t="shared" si="25"/>
        <v>19158</v>
      </c>
      <c r="G50" s="7">
        <f t="shared" si="25"/>
        <v>19337.5</v>
      </c>
      <c r="H50" s="7">
        <f t="shared" si="25"/>
        <v>20458.5</v>
      </c>
    </row>
    <row r="51" spans="2:8">
      <c r="B51" s="5" t="s">
        <v>154</v>
      </c>
      <c r="C51" s="5"/>
      <c r="D51" s="243">
        <f>D49/D50</f>
        <v>0.9832831673998611</v>
      </c>
      <c r="E51" s="243">
        <f t="shared" ref="E51:H51" si="26">E49/E50</f>
        <v>1.0610138335729267</v>
      </c>
      <c r="F51" s="243">
        <f t="shared" si="26"/>
        <v>1.1184361624386678</v>
      </c>
      <c r="G51" s="243">
        <f t="shared" si="26"/>
        <v>1.2247188106011635</v>
      </c>
      <c r="H51" s="243">
        <f t="shared" si="26"/>
        <v>1.2127477576557422</v>
      </c>
    </row>
    <row r="53" spans="2:8">
      <c r="B53" s="5" t="s">
        <v>152</v>
      </c>
      <c r="C53" s="5"/>
      <c r="D53" s="242">
        <f>D47*D51</f>
        <v>6.909006714517249E-2</v>
      </c>
      <c r="E53" s="242">
        <f t="shared" ref="E53:H53" si="27">E47*E51</f>
        <v>1.1971814389743832E-2</v>
      </c>
      <c r="F53" s="242">
        <f t="shared" si="27"/>
        <v>-3.0274558930994885E-3</v>
      </c>
      <c r="G53" s="242">
        <f t="shared" si="27"/>
        <v>4.2611506140917903E-2</v>
      </c>
      <c r="H53" s="242">
        <f t="shared" si="27"/>
        <v>6.7306987315785619E-2</v>
      </c>
    </row>
    <row r="58" spans="2:8">
      <c r="D58" t="s">
        <v>47</v>
      </c>
    </row>
  </sheetData>
  <mergeCells count="6">
    <mergeCell ref="B37:H37"/>
    <mergeCell ref="B43:H43"/>
    <mergeCell ref="C2:G3"/>
    <mergeCell ref="B8:G11"/>
    <mergeCell ref="B15:H15"/>
    <mergeCell ref="B21:H2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A57B1-3D42-4476-A317-E60507A2E4E5}">
  <dimension ref="B2:AG108"/>
  <sheetViews>
    <sheetView showGridLines="0" topLeftCell="L1" zoomScale="78" workbookViewId="0">
      <selection activeCell="AH4" sqref="AH4"/>
    </sheetView>
  </sheetViews>
  <sheetFormatPr defaultRowHeight="14.4"/>
  <cols>
    <col min="1" max="1" width="2.109375" customWidth="1"/>
    <col min="2" max="2" width="10.109375" bestFit="1" customWidth="1"/>
    <col min="5" max="5" width="5.21875" customWidth="1"/>
    <col min="6" max="6" width="11.5546875" bestFit="1" customWidth="1"/>
    <col min="8" max="8" width="7.77734375" bestFit="1" customWidth="1"/>
    <col min="10" max="10" width="11.5546875" bestFit="1" customWidth="1"/>
    <col min="11" max="11" width="11.5546875" customWidth="1"/>
    <col min="13" max="13" width="5.33203125" customWidth="1"/>
    <col min="14" max="14" width="18.77734375" bestFit="1" customWidth="1"/>
    <col min="18" max="18" width="11.5546875" bestFit="1" customWidth="1"/>
    <col min="22" max="22" width="11.5546875" bestFit="1" customWidth="1"/>
    <col min="26" max="26" width="10.109375" bestFit="1" customWidth="1"/>
    <col min="30" max="30" width="11.5546875" bestFit="1" customWidth="1"/>
    <col min="31" max="31" width="11.21875" bestFit="1" customWidth="1"/>
  </cols>
  <sheetData>
    <row r="2" spans="2:33" ht="21">
      <c r="B2" s="84" t="s">
        <v>178</v>
      </c>
      <c r="F2" s="84" t="s">
        <v>162</v>
      </c>
      <c r="J2" s="84" t="s">
        <v>163</v>
      </c>
      <c r="K2" s="84"/>
      <c r="N2" s="84" t="s">
        <v>164</v>
      </c>
      <c r="R2" s="84" t="s">
        <v>172</v>
      </c>
      <c r="V2" t="s">
        <v>181</v>
      </c>
      <c r="Z2" t="s">
        <v>182</v>
      </c>
      <c r="AD2" t="s">
        <v>183</v>
      </c>
    </row>
    <row r="3" spans="2:33">
      <c r="B3" s="89" t="str" cm="1">
        <f t="array" aca="1" ref="B3:C108" ca="1">_xlfn.STOCKHISTORY("XETR:ADS", "02.04.2024", "02.04.2026", 1, 1)</f>
        <v>Дата</v>
      </c>
      <c r="C3" s="89" t="str">
        <f ca="1"/>
        <v>Закрытие</v>
      </c>
      <c r="D3" s="89" t="s">
        <v>179</v>
      </c>
      <c r="F3" s="89" t="str" cm="1">
        <f t="array" aca="1" ref="F3:G108" ca="1">_xlfn.STOCKHISTORY("NKE", "02.04.2024", "02.04.2026", 1, 1)</f>
        <v>Дата</v>
      </c>
      <c r="G3" s="89" t="str">
        <f ca="1"/>
        <v>Закрытие</v>
      </c>
      <c r="H3" s="89" t="s">
        <v>179</v>
      </c>
      <c r="J3" s="89" t="str" cm="1">
        <f t="array" aca="1" ref="J3:K108" ca="1">_xlfn.STOCKHISTORY("XETR:PUM", "02.04.2024", "02.04.2026", 1, 1)</f>
        <v>Дата</v>
      </c>
      <c r="K3" s="89" t="str">
        <f ca="1"/>
        <v>Закрытие</v>
      </c>
      <c r="L3" s="89" t="s">
        <v>180</v>
      </c>
      <c r="N3" s="89" t="str" cm="1">
        <f t="array" aca="1" ref="N3:O108" ca="1">_xlfn.STOCKHISTORY("UAA", "02.04.2024", "02.04.2026", 1, 1)</f>
        <v>Дата</v>
      </c>
      <c r="O3" s="89" t="str">
        <f ca="1"/>
        <v>Закрытие</v>
      </c>
      <c r="P3" s="89" t="s">
        <v>180</v>
      </c>
      <c r="R3" s="93" t="str" cm="1">
        <f t="array" aca="1" ref="R3:S108" ca="1">_xlfn.STOCKHISTORY("ASCCY", DATE(2024, 4, 2), DATE(2026, 4, 2), 1, 1)</f>
        <v>Дата</v>
      </c>
      <c r="S3" s="89" t="str">
        <f ca="1"/>
        <v>Закрытие</v>
      </c>
      <c r="T3" s="89" t="s">
        <v>179</v>
      </c>
      <c r="V3" t="str" cm="1">
        <f t="array" aca="1" ref="V3:W108" ca="1">_xlfn.STOCKHISTORY("XETR:EXSA", DATE(2024,4,2), DATE(2026,4,2), 1, 1)</f>
        <v>Дата</v>
      </c>
      <c r="W3" t="str">
        <f ca="1"/>
        <v>Закрытие</v>
      </c>
      <c r="X3" t="s">
        <v>179</v>
      </c>
      <c r="Z3" s="91" t="str" cm="1">
        <f t="array" aca="1" ref="Z3:AA108" ca="1">_xlfn.STOCKHISTORY("VOO", DATE(2024, 4, 2), DATE(2026, 4, 2), 1, 1)</f>
        <v>Дата</v>
      </c>
      <c r="AA3" t="str">
        <f ca="1"/>
        <v>Закрытие</v>
      </c>
      <c r="AB3" t="s">
        <v>179</v>
      </c>
      <c r="AD3" t="str" cm="1">
        <f t="array" aca="1" ref="AD3:AE108" ca="1">_xlfn.STOCKHISTORY("^N225", DATE(2024, 4, 2), DATE(2026, 4, 2), 1, 1)</f>
        <v>Дата</v>
      </c>
      <c r="AE3" t="str">
        <f ca="1"/>
        <v>Закрытие</v>
      </c>
      <c r="AF3" t="s">
        <v>179</v>
      </c>
    </row>
    <row r="4" spans="2:33">
      <c r="B4" s="89" vm="1">
        <f ca="1"/>
        <v>45384</v>
      </c>
      <c r="C4" s="89" vm="2">
        <f ca="1"/>
        <v>201.6</v>
      </c>
      <c r="D4" s="89"/>
      <c r="F4" s="89" vm="1">
        <f ca="1"/>
        <v>45384</v>
      </c>
      <c r="G4" s="89" vm="3">
        <f ca="1"/>
        <v>82.69</v>
      </c>
      <c r="H4" s="89"/>
      <c r="J4" s="89" vm="1">
        <f ca="1"/>
        <v>45384</v>
      </c>
      <c r="K4" s="89" vm="4">
        <f ca="1"/>
        <v>42.14</v>
      </c>
      <c r="L4" s="89"/>
      <c r="N4" s="89" vm="5">
        <f ca="1"/>
        <v>45383</v>
      </c>
      <c r="O4" s="89" vm="6">
        <f ca="1"/>
        <v>6.82</v>
      </c>
      <c r="P4" s="89"/>
      <c r="R4" s="89" vm="5">
        <f ca="1"/>
        <v>45383</v>
      </c>
      <c r="S4" s="89" vm="7">
        <f ca="1"/>
        <v>11.62</v>
      </c>
      <c r="T4" s="89"/>
      <c r="V4" vm="1">
        <f ca="1"/>
        <v>45384</v>
      </c>
      <c r="W4" vm="8">
        <f ca="1"/>
        <v>50.17</v>
      </c>
      <c r="Z4" vm="5">
        <f ca="1"/>
        <v>45383</v>
      </c>
      <c r="AA4" vm="9">
        <f ca="1"/>
        <v>476.49</v>
      </c>
      <c r="AD4" vm="5">
        <f ca="1"/>
        <v>45383</v>
      </c>
      <c r="AE4" vm="10">
        <f ca="1"/>
        <v>38992.080000000002</v>
      </c>
    </row>
    <row r="5" spans="2:33">
      <c r="B5" s="89" vm="11">
        <f ca="1"/>
        <v>45390</v>
      </c>
      <c r="C5" s="89" vm="12">
        <f ca="1"/>
        <v>196.4</v>
      </c>
      <c r="D5" s="90">
        <f ca="1">(C5/C4) -1</f>
        <v>-2.5793650793650702E-2</v>
      </c>
      <c r="F5" s="89" vm="11">
        <f ca="1"/>
        <v>45390</v>
      </c>
      <c r="G5" s="89" vm="13">
        <f ca="1"/>
        <v>86.98</v>
      </c>
      <c r="H5" s="90">
        <f ca="1">(G5/G4)-1</f>
        <v>5.1880517595839892E-2</v>
      </c>
      <c r="J5" s="89" vm="11">
        <f ca="1"/>
        <v>45390</v>
      </c>
      <c r="K5" s="89" vm="14">
        <f ca="1"/>
        <v>40.39</v>
      </c>
      <c r="L5" s="90">
        <f ca="1">(K5/K4)-1</f>
        <v>-4.1528239202657802E-2</v>
      </c>
      <c r="N5" s="89" vm="11">
        <f ca="1"/>
        <v>45390</v>
      </c>
      <c r="O5" s="89" vm="15">
        <f ca="1"/>
        <v>6.56</v>
      </c>
      <c r="P5" s="92">
        <f ca="1">(O5/O4)-1</f>
        <v>-3.8123167155425297E-2</v>
      </c>
      <c r="R5" s="89" vm="11">
        <f ca="1"/>
        <v>45390</v>
      </c>
      <c r="S5" s="89" vm="16">
        <f ca="1"/>
        <v>11.471299999999999</v>
      </c>
      <c r="T5" s="90">
        <f ca="1">(S5/S4)-1</f>
        <v>-1.2796901893287416E-2</v>
      </c>
      <c r="V5" vm="11">
        <f ca="1"/>
        <v>45390</v>
      </c>
      <c r="W5" vm="17">
        <f ca="1"/>
        <v>50.15</v>
      </c>
      <c r="X5" s="51">
        <f ca="1">(W5/W4)-1</f>
        <v>-3.9864460833172188E-4</v>
      </c>
      <c r="Z5" vm="11">
        <f ca="1"/>
        <v>45390</v>
      </c>
      <c r="AA5" vm="18">
        <f ca="1"/>
        <v>469.57</v>
      </c>
      <c r="AB5" s="51">
        <f ca="1">(AA5/AA4)-1</f>
        <v>-1.4522865117840955E-2</v>
      </c>
      <c r="AD5" vm="11">
        <f ca="1"/>
        <v>45390</v>
      </c>
      <c r="AE5" vm="19">
        <f ca="1"/>
        <v>39523.550000000003</v>
      </c>
      <c r="AF5" s="51">
        <f ca="1">(AE5/AE4)-1</f>
        <v>1.3630203877300184E-2</v>
      </c>
    </row>
    <row r="6" spans="2:33">
      <c r="B6" s="89" vm="20">
        <f ca="1"/>
        <v>45397</v>
      </c>
      <c r="C6" s="89" vm="21">
        <f ca="1"/>
        <v>224.6</v>
      </c>
      <c r="D6" s="90">
        <f t="shared" ref="D6:D69" ca="1" si="0">(C6/C5) -1</f>
        <v>0.14358452138492872</v>
      </c>
      <c r="F6" s="89" vm="20">
        <f ca="1"/>
        <v>45397</v>
      </c>
      <c r="G6" s="89" vm="22">
        <f ca="1"/>
        <v>89.9</v>
      </c>
      <c r="H6" s="90">
        <f t="shared" ref="H6:H69" ca="1" si="1">(G6/G5)-1</f>
        <v>3.3570935847321293E-2</v>
      </c>
      <c r="J6" s="89" vm="20">
        <f ca="1"/>
        <v>45397</v>
      </c>
      <c r="K6" s="89" vm="23">
        <f ca="1"/>
        <v>42.56</v>
      </c>
      <c r="L6" s="90">
        <f t="shared" ref="L6:L69" ca="1" si="2">(K6/K5)-1</f>
        <v>5.3726169844020788E-2</v>
      </c>
      <c r="N6" s="89" vm="20">
        <f ca="1"/>
        <v>45397</v>
      </c>
      <c r="O6" s="89" vm="24">
        <f ca="1"/>
        <v>6.73</v>
      </c>
      <c r="P6" s="92">
        <f t="shared" ref="P6:P69" ca="1" si="3">(O6/O5)-1</f>
        <v>2.5914634146341653E-2</v>
      </c>
      <c r="R6" s="89" vm="20">
        <f ca="1"/>
        <v>45397</v>
      </c>
      <c r="S6" s="89" vm="25">
        <f ca="1"/>
        <v>10.76</v>
      </c>
      <c r="T6" s="90">
        <f t="shared" ref="T6:T69" ca="1" si="4">(S6/S5)-1</f>
        <v>-6.2006921621786559E-2</v>
      </c>
      <c r="V6" vm="20">
        <f ca="1"/>
        <v>45397</v>
      </c>
      <c r="W6" vm="26">
        <f ca="1"/>
        <v>49.55</v>
      </c>
      <c r="X6" s="51">
        <f t="shared" ref="X6:X69" ca="1" si="5">(W6/W5)-1</f>
        <v>-1.1964107676969093E-2</v>
      </c>
      <c r="Z6" vm="20">
        <f ca="1"/>
        <v>45397</v>
      </c>
      <c r="AA6" vm="27">
        <f ca="1"/>
        <v>455.1</v>
      </c>
      <c r="AB6" s="51">
        <f t="shared" ref="AB6:AB69" ca="1" si="6">(AA6/AA5)-1</f>
        <v>-3.0815426879911345E-2</v>
      </c>
      <c r="AD6" vm="20">
        <f ca="1"/>
        <v>45397</v>
      </c>
      <c r="AE6" vm="28">
        <f ca="1"/>
        <v>37068.35</v>
      </c>
      <c r="AF6" s="51">
        <f t="shared" ref="AF6:AF69" ca="1" si="7">(AE6/AE5)-1</f>
        <v>-6.2119925968188716E-2</v>
      </c>
    </row>
    <row r="7" spans="2:33">
      <c r="B7" s="89" vm="29">
        <f ca="1"/>
        <v>45404</v>
      </c>
      <c r="C7" s="89" vm="30">
        <f ca="1"/>
        <v>230.9</v>
      </c>
      <c r="D7" s="90">
        <f t="shared" ca="1" si="0"/>
        <v>2.8049866429207482E-2</v>
      </c>
      <c r="F7" s="89" vm="29">
        <f ca="1"/>
        <v>45404</v>
      </c>
      <c r="G7" s="89" vm="31">
        <f ca="1"/>
        <v>88.46</v>
      </c>
      <c r="H7" s="90">
        <f t="shared" ca="1" si="1"/>
        <v>-1.601779755283661E-2</v>
      </c>
      <c r="J7" s="89" vm="29">
        <f ca="1"/>
        <v>45404</v>
      </c>
      <c r="K7" s="89" vm="32">
        <f ca="1"/>
        <v>43.71</v>
      </c>
      <c r="L7" s="90">
        <f t="shared" ca="1" si="2"/>
        <v>2.7020676691729362E-2</v>
      </c>
      <c r="N7" s="89" vm="29">
        <f ca="1"/>
        <v>45404</v>
      </c>
      <c r="O7" s="89" vm="33">
        <f ca="1"/>
        <v>6.8</v>
      </c>
      <c r="P7" s="92">
        <f t="shared" ca="1" si="3"/>
        <v>1.0401188707280795E-2</v>
      </c>
      <c r="R7" s="89" vm="29">
        <f ca="1"/>
        <v>45404</v>
      </c>
      <c r="S7" s="89" vm="34">
        <f ca="1"/>
        <v>10.785</v>
      </c>
      <c r="T7" s="90">
        <f t="shared" ca="1" si="4"/>
        <v>2.3234200743493805E-3</v>
      </c>
      <c r="V7" vm="29">
        <f ca="1"/>
        <v>45404</v>
      </c>
      <c r="W7" vm="35">
        <f ca="1"/>
        <v>50.58</v>
      </c>
      <c r="X7" s="51">
        <f t="shared" ca="1" si="5"/>
        <v>2.0787083753784019E-2</v>
      </c>
      <c r="Z7" vm="29">
        <f ca="1"/>
        <v>45404</v>
      </c>
      <c r="AA7" vm="36">
        <f ca="1"/>
        <v>467.21</v>
      </c>
      <c r="AB7" s="51">
        <f t="shared" ca="1" si="6"/>
        <v>2.660953636563379E-2</v>
      </c>
      <c r="AD7" vm="29">
        <f ca="1"/>
        <v>45404</v>
      </c>
      <c r="AE7" vm="37">
        <f ca="1"/>
        <v>37934.76</v>
      </c>
      <c r="AF7" s="51">
        <f t="shared" ca="1" si="7"/>
        <v>2.3373309035875645E-2</v>
      </c>
    </row>
    <row r="8" spans="2:33">
      <c r="B8" s="89" vm="38">
        <f ca="1"/>
        <v>45411</v>
      </c>
      <c r="C8" s="89" vm="39">
        <f ca="1"/>
        <v>225</v>
      </c>
      <c r="D8" s="90">
        <f t="shared" ca="1" si="0"/>
        <v>-2.5552187093980105E-2</v>
      </c>
      <c r="F8" s="89" vm="38">
        <f ca="1"/>
        <v>45411</v>
      </c>
      <c r="G8" s="89" vm="40">
        <f ca="1"/>
        <v>85.4</v>
      </c>
      <c r="H8" s="90">
        <f t="shared" ca="1" si="1"/>
        <v>-3.4591905946190216E-2</v>
      </c>
      <c r="J8" s="89" vm="38">
        <f ca="1"/>
        <v>45411</v>
      </c>
      <c r="K8" s="89" vm="41">
        <f ca="1"/>
        <v>44.77</v>
      </c>
      <c r="L8" s="90">
        <f t="shared" ca="1" si="2"/>
        <v>2.4250743536948116E-2</v>
      </c>
      <c r="N8" s="89" vm="38">
        <f ca="1"/>
        <v>45411</v>
      </c>
      <c r="O8" s="89" vm="42">
        <f ca="1"/>
        <v>6.74</v>
      </c>
      <c r="P8" s="92">
        <f t="shared" ca="1" si="3"/>
        <v>-8.8235294117646745E-3</v>
      </c>
      <c r="R8" s="89" vm="38">
        <f ca="1"/>
        <v>45411</v>
      </c>
      <c r="S8" s="89" vm="43">
        <f ca="1"/>
        <v>11.0025</v>
      </c>
      <c r="T8" s="90">
        <f t="shared" ca="1" si="4"/>
        <v>2.0166898470097339E-2</v>
      </c>
      <c r="V8" vm="38">
        <f ca="1"/>
        <v>45411</v>
      </c>
      <c r="W8" vm="44">
        <f ca="1"/>
        <v>50.48</v>
      </c>
      <c r="X8" s="51">
        <f t="shared" ca="1" si="5"/>
        <v>-1.9770660340056034E-3</v>
      </c>
      <c r="Z8" vm="38">
        <f ca="1"/>
        <v>45411</v>
      </c>
      <c r="AA8" vm="45">
        <f ca="1"/>
        <v>469.98</v>
      </c>
      <c r="AB8" s="51">
        <f t="shared" ca="1" si="6"/>
        <v>5.928811455234273E-3</v>
      </c>
      <c r="AD8" vm="46">
        <f ca="1"/>
        <v>45412</v>
      </c>
      <c r="AE8" vm="47">
        <f ca="1"/>
        <v>38236.07</v>
      </c>
      <c r="AF8" s="51">
        <f t="shared" ca="1" si="7"/>
        <v>7.9428471407225754E-3</v>
      </c>
    </row>
    <row r="9" spans="2:33">
      <c r="B9" s="89" vm="48">
        <f ca="1"/>
        <v>45418</v>
      </c>
      <c r="C9" s="89" vm="49">
        <f ca="1"/>
        <v>224.4</v>
      </c>
      <c r="D9" s="90">
        <f t="shared" ca="1" si="0"/>
        <v>-2.666666666666595E-3</v>
      </c>
      <c r="F9" s="89" vm="48">
        <f ca="1"/>
        <v>45418</v>
      </c>
      <c r="G9" s="89" vm="50">
        <f ca="1"/>
        <v>85.39</v>
      </c>
      <c r="H9" s="90">
        <f t="shared" ca="1" si="1"/>
        <v>-1.1709601873544084E-4</v>
      </c>
      <c r="J9" s="89" vm="48">
        <f ca="1"/>
        <v>45418</v>
      </c>
      <c r="K9" s="89" vm="51">
        <f ca="1"/>
        <v>50.82</v>
      </c>
      <c r="L9" s="90">
        <f t="shared" ca="1" si="2"/>
        <v>0.13513513513513509</v>
      </c>
      <c r="N9" s="89" vm="48">
        <f ca="1"/>
        <v>45418</v>
      </c>
      <c r="O9" s="89" vm="52">
        <f ca="1"/>
        <v>6.71</v>
      </c>
      <c r="P9" s="92">
        <f t="shared" ca="1" si="3"/>
        <v>-4.4510385756676429E-3</v>
      </c>
      <c r="R9" s="89" vm="48">
        <f ca="1"/>
        <v>45418</v>
      </c>
      <c r="S9" s="89" vm="53">
        <f ca="1"/>
        <v>13.125</v>
      </c>
      <c r="T9" s="90">
        <f t="shared" ca="1" si="4"/>
        <v>0.1929107021131562</v>
      </c>
      <c r="V9" vm="48">
        <f ca="1"/>
        <v>45418</v>
      </c>
      <c r="W9" vm="54">
        <f ca="1"/>
        <v>52.13</v>
      </c>
      <c r="X9" s="51">
        <f t="shared" ca="1" si="5"/>
        <v>3.2686212361331402E-2</v>
      </c>
      <c r="Z9" vm="48">
        <f ca="1"/>
        <v>45418</v>
      </c>
      <c r="AA9" vm="55">
        <f ca="1"/>
        <v>478.74</v>
      </c>
      <c r="AB9" s="51">
        <f t="shared" ca="1" si="6"/>
        <v>1.8639091025149934E-2</v>
      </c>
      <c r="AD9" vm="56">
        <f ca="1"/>
        <v>45419</v>
      </c>
      <c r="AE9" vm="57">
        <f ca="1"/>
        <v>38229.11</v>
      </c>
      <c r="AF9" s="51">
        <f t="shared" ca="1" si="7"/>
        <v>-1.8202707548131691E-4</v>
      </c>
    </row>
    <row r="10" spans="2:33">
      <c r="B10" s="89" vm="58">
        <f ca="1"/>
        <v>45425</v>
      </c>
      <c r="C10" s="89" vm="59">
        <f ca="1"/>
        <v>228.9</v>
      </c>
      <c r="D10" s="90">
        <f t="shared" ca="1" si="0"/>
        <v>2.0053475935828846E-2</v>
      </c>
      <c r="F10" s="89" vm="58">
        <f ca="1"/>
        <v>45425</v>
      </c>
      <c r="G10" s="89" vm="60">
        <f ca="1"/>
        <v>84.8</v>
      </c>
      <c r="H10" s="90">
        <f t="shared" ca="1" si="1"/>
        <v>-6.9094741773041424E-3</v>
      </c>
      <c r="J10" s="89" vm="58">
        <f ca="1"/>
        <v>45425</v>
      </c>
      <c r="K10" s="89" vm="61">
        <f ca="1"/>
        <v>51.42</v>
      </c>
      <c r="L10" s="90">
        <f t="shared" ca="1" si="2"/>
        <v>1.1806375442739103E-2</v>
      </c>
      <c r="N10" s="89" vm="58">
        <f ca="1"/>
        <v>45425</v>
      </c>
      <c r="O10" s="89" vm="62">
        <f ca="1"/>
        <v>6.78</v>
      </c>
      <c r="P10" s="92">
        <f t="shared" ca="1" si="3"/>
        <v>1.0432190760059745E-2</v>
      </c>
      <c r="R10" s="89" vm="58">
        <f ca="1"/>
        <v>45425</v>
      </c>
      <c r="S10" s="89" vm="63">
        <f ca="1"/>
        <v>13.0588</v>
      </c>
      <c r="T10" s="90">
        <f t="shared" ca="1" si="4"/>
        <v>-5.0438095238095615E-3</v>
      </c>
      <c r="V10" vm="58">
        <f ca="1"/>
        <v>45425</v>
      </c>
      <c r="W10" vm="64">
        <f ca="1"/>
        <v>52.46</v>
      </c>
      <c r="X10" s="51">
        <f t="shared" ca="1" si="5"/>
        <v>6.3303280260886829E-3</v>
      </c>
      <c r="Z10" vm="58">
        <f ca="1"/>
        <v>45425</v>
      </c>
      <c r="AA10" vm="65">
        <f ca="1"/>
        <v>486.69</v>
      </c>
      <c r="AB10" s="51">
        <f t="shared" ca="1" si="6"/>
        <v>1.660609098884569E-2</v>
      </c>
      <c r="AD10" vm="58">
        <f ca="1"/>
        <v>45425</v>
      </c>
      <c r="AE10" vm="66">
        <f ca="1"/>
        <v>38787.379999999997</v>
      </c>
      <c r="AF10" s="51">
        <f t="shared" ca="1" si="7"/>
        <v>1.4603269602666558E-2</v>
      </c>
    </row>
    <row r="11" spans="2:33">
      <c r="B11" s="89" vm="67">
        <f ca="1"/>
        <v>45432</v>
      </c>
      <c r="C11" s="89" vm="68">
        <f ca="1"/>
        <v>223.9</v>
      </c>
      <c r="D11" s="90">
        <f t="shared" ca="1" si="0"/>
        <v>-2.1843599825251192E-2</v>
      </c>
      <c r="F11" s="89" vm="67">
        <f ca="1"/>
        <v>45432</v>
      </c>
      <c r="G11" s="89" vm="69">
        <f ca="1"/>
        <v>84.52</v>
      </c>
      <c r="H11" s="90">
        <f t="shared" ca="1" si="1"/>
        <v>-3.3018867924528017E-3</v>
      </c>
      <c r="J11" s="89" vm="67">
        <f ca="1"/>
        <v>45432</v>
      </c>
      <c r="K11" s="89" vm="70">
        <f ca="1"/>
        <v>47.73</v>
      </c>
      <c r="L11" s="90">
        <f t="shared" ca="1" si="2"/>
        <v>-7.1761960326721219E-2</v>
      </c>
      <c r="N11" s="89" vm="67">
        <f ca="1"/>
        <v>45432</v>
      </c>
      <c r="O11" s="89" vm="71">
        <f ca="1"/>
        <v>6.65</v>
      </c>
      <c r="P11" s="92">
        <f t="shared" ca="1" si="3"/>
        <v>-1.9174041297935096E-2</v>
      </c>
      <c r="R11" s="89" vm="67">
        <f ca="1"/>
        <v>45432</v>
      </c>
      <c r="S11" s="89" vm="72">
        <f ca="1"/>
        <v>13.4375</v>
      </c>
      <c r="T11" s="90">
        <f t="shared" ca="1" si="4"/>
        <v>2.8999601801084296E-2</v>
      </c>
      <c r="V11" vm="67">
        <f ca="1"/>
        <v>45432</v>
      </c>
      <c r="W11" vm="73">
        <f ca="1"/>
        <v>52.29</v>
      </c>
      <c r="X11" s="51">
        <f t="shared" ca="1" si="5"/>
        <v>-3.2405642394205403E-3</v>
      </c>
      <c r="Z11" vm="67">
        <f ca="1"/>
        <v>45432</v>
      </c>
      <c r="AA11" vm="74">
        <f ca="1"/>
        <v>486.73</v>
      </c>
      <c r="AB11" s="51">
        <f t="shared" ca="1" si="6"/>
        <v>8.2187840309000393E-5</v>
      </c>
      <c r="AD11" vm="67">
        <f ca="1"/>
        <v>45432</v>
      </c>
      <c r="AE11" vm="75">
        <f ca="1"/>
        <v>38646.11</v>
      </c>
      <c r="AF11" s="51">
        <f t="shared" ca="1" si="7"/>
        <v>-3.6421640234528541E-3</v>
      </c>
    </row>
    <row r="12" spans="2:33">
      <c r="B12" s="89" vm="76">
        <f ca="1"/>
        <v>45439</v>
      </c>
      <c r="C12" s="89" vm="77">
        <f ca="1"/>
        <v>231.5</v>
      </c>
      <c r="D12" s="90">
        <f t="shared" ca="1" si="0"/>
        <v>3.3943724877177228E-2</v>
      </c>
      <c r="F12" s="89" vm="76">
        <f ca="1"/>
        <v>45439</v>
      </c>
      <c r="G12" s="89" vm="78">
        <f ca="1"/>
        <v>86.24</v>
      </c>
      <c r="H12" s="90">
        <f t="shared" ca="1" si="1"/>
        <v>2.0350212967344961E-2</v>
      </c>
      <c r="J12" s="89" vm="76">
        <f ca="1"/>
        <v>45439</v>
      </c>
      <c r="K12" s="89" vm="79">
        <f ca="1"/>
        <v>47.55</v>
      </c>
      <c r="L12" s="90">
        <f t="shared" ca="1" si="2"/>
        <v>-3.7712130735386706E-3</v>
      </c>
      <c r="N12" s="89" vm="80">
        <f ca="1"/>
        <v>45440</v>
      </c>
      <c r="O12" s="89" vm="81">
        <f ca="1"/>
        <v>7.19</v>
      </c>
      <c r="P12" s="92">
        <f t="shared" ca="1" si="3"/>
        <v>8.1203007518797055E-2</v>
      </c>
      <c r="R12" s="89" vm="80">
        <f ca="1"/>
        <v>45440</v>
      </c>
      <c r="S12" s="89" vm="82">
        <f ca="1"/>
        <v>13.823600000000001</v>
      </c>
      <c r="T12" s="90">
        <f t="shared" ca="1" si="4"/>
        <v>2.8733023255814061E-2</v>
      </c>
      <c r="V12" vm="76">
        <f ca="1"/>
        <v>45439</v>
      </c>
      <c r="W12" vm="83">
        <f ca="1"/>
        <v>52.09</v>
      </c>
      <c r="X12" s="51">
        <f t="shared" ca="1" si="5"/>
        <v>-3.8248231019314405E-3</v>
      </c>
      <c r="Z12" vm="80">
        <f ca="1"/>
        <v>45440</v>
      </c>
      <c r="AA12" vm="84">
        <f ca="1"/>
        <v>484.62</v>
      </c>
      <c r="AB12" s="51">
        <f t="shared" ca="1" si="6"/>
        <v>-4.3350522877160236E-3</v>
      </c>
      <c r="AD12" vm="76">
        <f ca="1"/>
        <v>45439</v>
      </c>
      <c r="AE12" vm="85">
        <f ca="1"/>
        <v>38487.9</v>
      </c>
      <c r="AF12" s="51">
        <f t="shared" ca="1" si="7"/>
        <v>-4.0938143580298014E-3</v>
      </c>
    </row>
    <row r="13" spans="2:33">
      <c r="B13" s="89" vm="86">
        <f ca="1"/>
        <v>45446</v>
      </c>
      <c r="C13" s="89" vm="87">
        <f ca="1"/>
        <v>231</v>
      </c>
      <c r="D13" s="90">
        <f t="shared" ca="1" si="0"/>
        <v>-2.1598272138229069E-3</v>
      </c>
      <c r="F13" s="89" vm="86">
        <f ca="1"/>
        <v>45446</v>
      </c>
      <c r="G13" s="89" vm="88">
        <f ca="1"/>
        <v>90.4</v>
      </c>
      <c r="H13" s="90">
        <f t="shared" ca="1" si="1"/>
        <v>4.8237476808905555E-2</v>
      </c>
      <c r="J13" s="89" vm="86">
        <f ca="1"/>
        <v>45446</v>
      </c>
      <c r="K13" s="89" vm="89">
        <f ca="1"/>
        <v>47.47</v>
      </c>
      <c r="L13" s="90">
        <f t="shared" ca="1" si="2"/>
        <v>-1.6824395373290502E-3</v>
      </c>
      <c r="N13" s="89" vm="86">
        <f ca="1"/>
        <v>45446</v>
      </c>
      <c r="O13" s="89" vm="90">
        <f ca="1"/>
        <v>6.91</v>
      </c>
      <c r="P13" s="92">
        <f t="shared" ca="1" si="3"/>
        <v>-3.8942976356050152E-2</v>
      </c>
      <c r="R13" s="89" vm="86">
        <f ca="1"/>
        <v>45446</v>
      </c>
      <c r="S13" s="89" vm="91">
        <f ca="1"/>
        <v>15.012499999999999</v>
      </c>
      <c r="T13" s="90">
        <f t="shared" ca="1" si="4"/>
        <v>8.6005092739951827E-2</v>
      </c>
      <c r="V13" vm="86">
        <f ca="1"/>
        <v>45446</v>
      </c>
      <c r="W13" vm="92">
        <f ca="1"/>
        <v>52.74</v>
      </c>
      <c r="X13" s="51">
        <f t="shared" ca="1" si="5"/>
        <v>1.2478402764446228E-2</v>
      </c>
      <c r="Z13" vm="86">
        <f ca="1"/>
        <v>45446</v>
      </c>
      <c r="AA13" vm="93">
        <f ca="1"/>
        <v>490.8</v>
      </c>
      <c r="AB13" s="51">
        <f t="shared" ca="1" si="6"/>
        <v>1.2752259502290419E-2</v>
      </c>
      <c r="AD13" vm="86">
        <f ca="1"/>
        <v>45446</v>
      </c>
      <c r="AE13" vm="94">
        <f ca="1"/>
        <v>38683.93</v>
      </c>
      <c r="AF13" s="51">
        <f t="shared" ca="1" si="7"/>
        <v>5.0932890596784297E-3</v>
      </c>
    </row>
    <row r="14" spans="2:33">
      <c r="B14" s="89" vm="95">
        <f ca="1"/>
        <v>45453</v>
      </c>
      <c r="C14" s="89" vm="96">
        <f ca="1"/>
        <v>224.9</v>
      </c>
      <c r="D14" s="90">
        <f t="shared" ca="1" si="0"/>
        <v>-2.6406926406926434E-2</v>
      </c>
      <c r="F14" s="89" vm="95">
        <f ca="1"/>
        <v>45453</v>
      </c>
      <c r="G14" s="89" vm="97">
        <f ca="1"/>
        <v>87.54</v>
      </c>
      <c r="H14" s="90">
        <f t="shared" ca="1" si="1"/>
        <v>-3.1637168141592897E-2</v>
      </c>
      <c r="J14" s="89" vm="95">
        <f ca="1"/>
        <v>45453</v>
      </c>
      <c r="K14" s="89" vm="98">
        <f ca="1"/>
        <v>45.06</v>
      </c>
      <c r="L14" s="90">
        <f t="shared" ca="1" si="2"/>
        <v>-5.0768906677901793E-2</v>
      </c>
      <c r="N14" s="89" vm="95">
        <f ca="1"/>
        <v>45453</v>
      </c>
      <c r="O14" s="89" vm="99">
        <f ca="1"/>
        <v>6.68</v>
      </c>
      <c r="P14" s="92">
        <f t="shared" ca="1" si="3"/>
        <v>-3.3285094066570209E-2</v>
      </c>
      <c r="R14" s="89" vm="95">
        <f ca="1"/>
        <v>45453</v>
      </c>
      <c r="S14" s="89" vm="100">
        <f ca="1"/>
        <v>14.585000000000001</v>
      </c>
      <c r="T14" s="90">
        <f t="shared" ca="1" si="4"/>
        <v>-2.8476269775187246E-2</v>
      </c>
      <c r="V14" vm="95">
        <f ca="1"/>
        <v>45453</v>
      </c>
      <c r="W14" vm="101">
        <f ca="1"/>
        <v>51.38</v>
      </c>
      <c r="X14" s="51">
        <f t="shared" ca="1" si="5"/>
        <v>-2.578687902919985E-2</v>
      </c>
      <c r="Z14" vm="95">
        <f ca="1"/>
        <v>45453</v>
      </c>
      <c r="AA14" vm="102">
        <f ca="1"/>
        <v>498.98</v>
      </c>
      <c r="AB14" s="51">
        <f t="shared" ca="1" si="6"/>
        <v>1.6666666666666607E-2</v>
      </c>
      <c r="AD14" vm="95">
        <f ca="1"/>
        <v>45453</v>
      </c>
      <c r="AE14" vm="103">
        <f ca="1"/>
        <v>38814.559999999998</v>
      </c>
      <c r="AF14" s="51">
        <f t="shared" ca="1" si="7"/>
        <v>3.3768544199102024E-3</v>
      </c>
    </row>
    <row r="15" spans="2:33">
      <c r="B15" s="89" vm="104">
        <f ca="1"/>
        <v>45460</v>
      </c>
      <c r="C15" s="89" vm="105">
        <f ca="1"/>
        <v>217.8</v>
      </c>
      <c r="D15" s="90">
        <f t="shared" ca="1" si="0"/>
        <v>-3.1569586482881218E-2</v>
      </c>
      <c r="F15" s="89" vm="104">
        <f ca="1"/>
        <v>45460</v>
      </c>
      <c r="G15" s="89" vm="106">
        <f ca="1"/>
        <v>89.82</v>
      </c>
      <c r="H15" s="90">
        <f t="shared" ca="1" si="1"/>
        <v>2.604523646333079E-2</v>
      </c>
      <c r="J15" s="89" vm="104">
        <f ca="1"/>
        <v>45460</v>
      </c>
      <c r="K15" s="89" vm="107">
        <f ca="1"/>
        <v>44.05</v>
      </c>
      <c r="L15" s="90">
        <f t="shared" ca="1" si="2"/>
        <v>-2.2414558366622428E-2</v>
      </c>
      <c r="N15" s="89" vm="104">
        <f ca="1"/>
        <v>45460</v>
      </c>
      <c r="O15" s="89" vm="108">
        <f ca="1"/>
        <v>6.99</v>
      </c>
      <c r="P15" s="92">
        <f t="shared" ca="1" si="3"/>
        <v>4.6407185628742686E-2</v>
      </c>
      <c r="R15" s="89" vm="104">
        <f ca="1"/>
        <v>45460</v>
      </c>
      <c r="S15" s="89" vm="109">
        <f ca="1"/>
        <v>15.37</v>
      </c>
      <c r="T15" s="90">
        <f t="shared" ca="1" si="4"/>
        <v>5.3822420294823425E-2</v>
      </c>
      <c r="V15" vm="104">
        <f ca="1"/>
        <v>45460</v>
      </c>
      <c r="W15" vm="110">
        <f ca="1"/>
        <v>51.17</v>
      </c>
      <c r="X15" s="51">
        <f t="shared" ca="1" si="5"/>
        <v>-4.0871934604904681E-3</v>
      </c>
      <c r="Z15" vm="104">
        <f ca="1"/>
        <v>45460</v>
      </c>
      <c r="AA15" vm="111">
        <f ca="1"/>
        <v>501.78</v>
      </c>
      <c r="AB15" s="51">
        <f t="shared" ca="1" si="6"/>
        <v>5.6114473525992192E-3</v>
      </c>
      <c r="AD15" vm="104">
        <f ca="1"/>
        <v>45460</v>
      </c>
      <c r="AE15" vm="112">
        <f ca="1"/>
        <v>38596.47</v>
      </c>
      <c r="AF15" s="51">
        <f t="shared" ca="1" si="7"/>
        <v>-5.618767802597735E-3</v>
      </c>
    </row>
    <row r="16" spans="2:33">
      <c r="B16" s="89" vm="113">
        <f ca="1"/>
        <v>45467</v>
      </c>
      <c r="C16" s="89" vm="114">
        <f ca="1"/>
        <v>223</v>
      </c>
      <c r="D16" s="90">
        <f t="shared" ca="1" si="0"/>
        <v>2.3875114784205564E-2</v>
      </c>
      <c r="F16" s="89" vm="113">
        <f ca="1"/>
        <v>45467</v>
      </c>
      <c r="G16" s="89" vm="115">
        <f ca="1"/>
        <v>70.989999999999995</v>
      </c>
      <c r="H16" s="90">
        <f t="shared" ca="1" si="1"/>
        <v>-0.20964150523268754</v>
      </c>
      <c r="J16" s="89" vm="113">
        <f ca="1"/>
        <v>45467</v>
      </c>
      <c r="K16" s="89" vm="116">
        <f ca="1"/>
        <v>42.87</v>
      </c>
      <c r="L16" s="90">
        <f t="shared" ca="1" si="2"/>
        <v>-2.6787741203178173E-2</v>
      </c>
      <c r="N16" s="89" vm="113">
        <f ca="1"/>
        <v>45467</v>
      </c>
      <c r="O16" s="89" vm="117">
        <f ca="1"/>
        <v>6.67</v>
      </c>
      <c r="P16" s="92">
        <f t="shared" ca="1" si="3"/>
        <v>-4.5779685264663805E-2</v>
      </c>
      <c r="R16" s="89" vm="113">
        <f ca="1"/>
        <v>45467</v>
      </c>
      <c r="S16" s="89" vm="118">
        <f ca="1"/>
        <v>15.3</v>
      </c>
      <c r="T16" s="90">
        <f t="shared" ca="1" si="4"/>
        <v>-4.5543266102796576E-3</v>
      </c>
      <c r="V16" vm="113">
        <f ca="1"/>
        <v>45467</v>
      </c>
      <c r="W16" vm="119">
        <f ca="1"/>
        <v>50.87</v>
      </c>
      <c r="X16" s="51">
        <f t="shared" ca="1" si="5"/>
        <v>-5.8628102403752713E-3</v>
      </c>
      <c r="Z16" vm="113">
        <f ca="1"/>
        <v>45467</v>
      </c>
      <c r="AA16" vm="120">
        <f ca="1"/>
        <v>500.13</v>
      </c>
      <c r="AB16" s="51">
        <f t="shared" ca="1" si="6"/>
        <v>-3.2882936745186608E-3</v>
      </c>
      <c r="AD16" vm="113">
        <f ca="1"/>
        <v>45467</v>
      </c>
      <c r="AE16" vm="121">
        <f ca="1"/>
        <v>39583.08</v>
      </c>
      <c r="AF16" s="51">
        <f t="shared" ca="1" si="7"/>
        <v>2.5562182241018361E-2</v>
      </c>
      <c r="AG16" t="s">
        <v>47</v>
      </c>
    </row>
    <row r="17" spans="2:32">
      <c r="B17" s="89" vm="122">
        <f ca="1"/>
        <v>45474</v>
      </c>
      <c r="C17" s="89" vm="123">
        <f ca="1"/>
        <v>220.3</v>
      </c>
      <c r="D17" s="90">
        <f t="shared" ca="1" si="0"/>
        <v>-1.2107623318385552E-2</v>
      </c>
      <c r="F17" s="89" vm="122">
        <f ca="1"/>
        <v>45474</v>
      </c>
      <c r="G17" s="89" vm="124">
        <f ca="1"/>
        <v>70.13</v>
      </c>
      <c r="H17" s="90">
        <f t="shared" ca="1" si="1"/>
        <v>-1.2114382307367277E-2</v>
      </c>
      <c r="J17" s="89" vm="122">
        <f ca="1"/>
        <v>45474</v>
      </c>
      <c r="K17" s="89" vm="125">
        <f ca="1"/>
        <v>43.72</v>
      </c>
      <c r="L17" s="90">
        <f t="shared" ca="1" si="2"/>
        <v>1.9827385117798135E-2</v>
      </c>
      <c r="N17" s="89" vm="122">
        <f ca="1"/>
        <v>45474</v>
      </c>
      <c r="O17" s="89" vm="126">
        <f ca="1"/>
        <v>6.4</v>
      </c>
      <c r="P17" s="92">
        <f t="shared" ca="1" si="3"/>
        <v>-4.0479760119939923E-2</v>
      </c>
      <c r="R17" s="89" vm="122">
        <f ca="1"/>
        <v>45474</v>
      </c>
      <c r="S17" s="89" vm="127">
        <f ca="1"/>
        <v>15.58</v>
      </c>
      <c r="T17" s="90">
        <f t="shared" ca="1" si="4"/>
        <v>1.8300653594771177E-2</v>
      </c>
      <c r="V17" vm="122">
        <f ca="1"/>
        <v>45474</v>
      </c>
      <c r="W17" vm="128">
        <f ca="1"/>
        <v>51.41</v>
      </c>
      <c r="X17" s="51">
        <f t="shared" ca="1" si="5"/>
        <v>1.0615293886377053E-2</v>
      </c>
      <c r="Z17" vm="122">
        <f ca="1"/>
        <v>45474</v>
      </c>
      <c r="AA17" vm="129">
        <f ca="1"/>
        <v>509.84</v>
      </c>
      <c r="AB17" s="51">
        <f t="shared" ca="1" si="6"/>
        <v>1.9414952112450701E-2</v>
      </c>
      <c r="AD17" vm="122">
        <f ca="1"/>
        <v>45474</v>
      </c>
      <c r="AE17" vm="130">
        <f ca="1"/>
        <v>40912.370000000003</v>
      </c>
      <c r="AF17" s="51">
        <f t="shared" ca="1" si="7"/>
        <v>3.3582278084474559E-2</v>
      </c>
    </row>
    <row r="18" spans="2:32">
      <c r="B18" s="89" vm="131">
        <f ca="1"/>
        <v>45481</v>
      </c>
      <c r="C18" s="89" vm="132">
        <f ca="1"/>
        <v>231.2</v>
      </c>
      <c r="D18" s="90">
        <f t="shared" ca="1" si="0"/>
        <v>4.9477984566500099E-2</v>
      </c>
      <c r="F18" s="89" vm="131">
        <f ca="1"/>
        <v>45481</v>
      </c>
      <c r="G18" s="89" vm="133">
        <f ca="1"/>
        <v>67.66</v>
      </c>
      <c r="H18" s="90">
        <f t="shared" ca="1" si="1"/>
        <v>-3.5220305147583009E-2</v>
      </c>
      <c r="J18" s="89" vm="131">
        <f ca="1"/>
        <v>45481</v>
      </c>
      <c r="K18" s="89" vm="134">
        <f ca="1"/>
        <v>44.7</v>
      </c>
      <c r="L18" s="90">
        <f t="shared" ca="1" si="2"/>
        <v>2.2415370539798918E-2</v>
      </c>
      <c r="N18" s="89" vm="131">
        <f ca="1"/>
        <v>45481</v>
      </c>
      <c r="O18" s="89" vm="135">
        <f ca="1"/>
        <v>6.87</v>
      </c>
      <c r="P18" s="92">
        <f t="shared" ca="1" si="3"/>
        <v>7.3437500000000044E-2</v>
      </c>
      <c r="R18" s="89" vm="131">
        <f ca="1"/>
        <v>45481</v>
      </c>
      <c r="S18" s="89" vm="136">
        <f ca="1"/>
        <v>16.175000000000001</v>
      </c>
      <c r="T18" s="90">
        <f t="shared" ca="1" si="4"/>
        <v>3.8189987163029571E-2</v>
      </c>
      <c r="V18" vm="131">
        <f ca="1"/>
        <v>45481</v>
      </c>
      <c r="W18" vm="137">
        <f ca="1"/>
        <v>52.16</v>
      </c>
      <c r="X18" s="51">
        <f t="shared" ca="1" si="5"/>
        <v>1.4588601439408766E-2</v>
      </c>
      <c r="Z18" vm="131">
        <f ca="1"/>
        <v>45481</v>
      </c>
      <c r="AA18" vm="138">
        <f ca="1"/>
        <v>514.54999999999995</v>
      </c>
      <c r="AB18" s="51">
        <f t="shared" ca="1" si="6"/>
        <v>9.2381923740780802E-3</v>
      </c>
      <c r="AD18" vm="131">
        <f ca="1"/>
        <v>45481</v>
      </c>
      <c r="AE18" vm="139">
        <f ca="1"/>
        <v>41190.68</v>
      </c>
      <c r="AF18" s="51">
        <f t="shared" ca="1" si="7"/>
        <v>6.8025880681075179E-3</v>
      </c>
    </row>
    <row r="19" spans="2:32">
      <c r="B19" s="89" vm="140">
        <f ca="1"/>
        <v>45488</v>
      </c>
      <c r="C19" s="89" vm="141">
        <f ca="1"/>
        <v>227.1</v>
      </c>
      <c r="D19" s="90">
        <f t="shared" ca="1" si="0"/>
        <v>-1.7733564013840852E-2</v>
      </c>
      <c r="F19" s="89" vm="140">
        <f ca="1"/>
        <v>45488</v>
      </c>
      <c r="G19" s="89" vm="142">
        <f ca="1"/>
        <v>66.34</v>
      </c>
      <c r="H19" s="90">
        <f t="shared" ca="1" si="1"/>
        <v>-1.9509311262193241E-2</v>
      </c>
      <c r="J19" s="89" vm="140">
        <f ca="1"/>
        <v>45488</v>
      </c>
      <c r="K19" s="89" vm="143">
        <f ca="1"/>
        <v>43.97</v>
      </c>
      <c r="L19" s="90">
        <f t="shared" ca="1" si="2"/>
        <v>-1.6331096196868122E-2</v>
      </c>
      <c r="N19" s="89" vm="140">
        <f ca="1"/>
        <v>45488</v>
      </c>
      <c r="O19" s="89" vm="144">
        <f ca="1"/>
        <v>6.7</v>
      </c>
      <c r="P19" s="92">
        <f t="shared" ca="1" si="3"/>
        <v>-2.4745269286754024E-2</v>
      </c>
      <c r="R19" s="89" vm="140">
        <f ca="1"/>
        <v>45488</v>
      </c>
      <c r="S19" s="89" vm="145">
        <f ca="1"/>
        <v>16.72</v>
      </c>
      <c r="T19" s="90">
        <f t="shared" ca="1" si="4"/>
        <v>3.3693972179288822E-2</v>
      </c>
      <c r="V19" vm="140">
        <f ca="1"/>
        <v>45488</v>
      </c>
      <c r="W19" vm="146">
        <f ca="1"/>
        <v>50.73</v>
      </c>
      <c r="X19" s="51">
        <f t="shared" ca="1" si="5"/>
        <v>-2.7415644171779108E-2</v>
      </c>
      <c r="Z19" vm="140">
        <f ca="1"/>
        <v>45488</v>
      </c>
      <c r="AA19" vm="147">
        <f ca="1"/>
        <v>504.55</v>
      </c>
      <c r="AB19" s="51">
        <f t="shared" ca="1" si="6"/>
        <v>-1.9434457292780039E-2</v>
      </c>
      <c r="AD19" vm="148">
        <f ca="1"/>
        <v>45489</v>
      </c>
      <c r="AE19" vm="149">
        <f ca="1"/>
        <v>40063.79</v>
      </c>
      <c r="AF19" s="51">
        <f t="shared" ca="1" si="7"/>
        <v>-2.7357887755191213E-2</v>
      </c>
    </row>
    <row r="20" spans="2:32">
      <c r="B20" s="89" vm="150">
        <f ca="1"/>
        <v>45495</v>
      </c>
      <c r="C20" s="89" vm="151">
        <f ca="1"/>
        <v>233</v>
      </c>
      <c r="D20" s="90">
        <f t="shared" ca="1" si="0"/>
        <v>2.5979744605900468E-2</v>
      </c>
      <c r="F20" s="89" vm="150">
        <f ca="1"/>
        <v>45495</v>
      </c>
      <c r="G20" s="89" vm="152">
        <f ca="1"/>
        <v>66.61</v>
      </c>
      <c r="H20" s="90">
        <f t="shared" ca="1" si="1"/>
        <v>4.069942719324704E-3</v>
      </c>
      <c r="J20" s="89" vm="150">
        <f ca="1"/>
        <v>45495</v>
      </c>
      <c r="K20" s="89" vm="153">
        <f ca="1"/>
        <v>45.34</v>
      </c>
      <c r="L20" s="90">
        <f t="shared" ca="1" si="2"/>
        <v>3.1157607459631587E-2</v>
      </c>
      <c r="N20" s="89" vm="150">
        <f ca="1"/>
        <v>45495</v>
      </c>
      <c r="O20" s="89" vm="154">
        <f ca="1"/>
        <v>6.89</v>
      </c>
      <c r="P20" s="92">
        <f t="shared" ca="1" si="3"/>
        <v>2.8358208955223896E-2</v>
      </c>
      <c r="R20" s="89" vm="150">
        <f ca="1"/>
        <v>45495</v>
      </c>
      <c r="S20" s="89" vm="155">
        <f ca="1"/>
        <v>15.06</v>
      </c>
      <c r="T20" s="90">
        <f t="shared" ca="1" si="4"/>
        <v>-9.9282296650717639E-2</v>
      </c>
      <c r="V20" vm="150">
        <f ca="1"/>
        <v>45495</v>
      </c>
      <c r="W20" vm="156">
        <f ca="1"/>
        <v>51.05</v>
      </c>
      <c r="X20" s="51">
        <f t="shared" ca="1" si="5"/>
        <v>6.3079045929430588E-3</v>
      </c>
      <c r="Z20" vm="150">
        <f ca="1"/>
        <v>45495</v>
      </c>
      <c r="AA20" vm="157">
        <f ca="1"/>
        <v>500.33</v>
      </c>
      <c r="AB20" s="51">
        <f t="shared" ca="1" si="6"/>
        <v>-8.3638886136161439E-3</v>
      </c>
      <c r="AD20" vm="150">
        <f ca="1"/>
        <v>45495</v>
      </c>
      <c r="AE20" vm="158">
        <f ca="1"/>
        <v>37667.410000000003</v>
      </c>
      <c r="AF20" s="51">
        <f t="shared" ca="1" si="7"/>
        <v>-5.9814111445771756E-2</v>
      </c>
    </row>
    <row r="21" spans="2:32">
      <c r="B21" s="89" vm="159">
        <f ca="1"/>
        <v>45502</v>
      </c>
      <c r="C21" s="89" vm="160">
        <f ca="1"/>
        <v>218.7</v>
      </c>
      <c r="D21" s="90">
        <f t="shared" ca="1" si="0"/>
        <v>-6.137339055794E-2</v>
      </c>
      <c r="F21" s="89" vm="159">
        <f ca="1"/>
        <v>45502</v>
      </c>
      <c r="G21" s="89" vm="161">
        <f ca="1"/>
        <v>67.12</v>
      </c>
      <c r="H21" s="90">
        <f t="shared" ca="1" si="1"/>
        <v>7.6565080318271583E-3</v>
      </c>
      <c r="J21" s="89" vm="159">
        <f ca="1"/>
        <v>45502</v>
      </c>
      <c r="K21" s="89" vm="162">
        <f ca="1"/>
        <v>43.53</v>
      </c>
      <c r="L21" s="90">
        <f t="shared" ca="1" si="2"/>
        <v>-3.9920599911777765E-2</v>
      </c>
      <c r="N21" s="89" vm="159">
        <f ca="1"/>
        <v>45502</v>
      </c>
      <c r="O21" s="89" vm="163">
        <f ca="1"/>
        <v>6.5</v>
      </c>
      <c r="P21" s="92">
        <f t="shared" ca="1" si="3"/>
        <v>-5.6603773584905648E-2</v>
      </c>
      <c r="R21" s="89" vm="159">
        <f ca="1"/>
        <v>45502</v>
      </c>
      <c r="S21" s="89" vm="164">
        <f ca="1"/>
        <v>14.13</v>
      </c>
      <c r="T21" s="90">
        <f t="shared" ca="1" si="4"/>
        <v>-6.175298804780871E-2</v>
      </c>
      <c r="V21" vm="159">
        <f ca="1"/>
        <v>45502</v>
      </c>
      <c r="W21" vm="165">
        <f ca="1"/>
        <v>49.57</v>
      </c>
      <c r="X21" s="51">
        <f t="shared" ca="1" si="5"/>
        <v>-2.8991185112634654E-2</v>
      </c>
      <c r="Z21" vm="159">
        <f ca="1"/>
        <v>45502</v>
      </c>
      <c r="AA21" vm="166">
        <f ca="1"/>
        <v>489.91</v>
      </c>
      <c r="AB21" s="51">
        <f t="shared" ca="1" si="6"/>
        <v>-2.0826254671916455E-2</v>
      </c>
      <c r="AD21" vm="159">
        <f ca="1"/>
        <v>45502</v>
      </c>
      <c r="AE21" vm="167">
        <f ca="1"/>
        <v>35909.699999999997</v>
      </c>
      <c r="AF21" s="51">
        <f t="shared" ca="1" si="7"/>
        <v>-4.6663946366368281E-2</v>
      </c>
    </row>
    <row r="22" spans="2:32">
      <c r="B22" s="89" vm="168">
        <f ca="1"/>
        <v>45509</v>
      </c>
      <c r="C22" s="89" vm="169">
        <f ca="1"/>
        <v>214.6</v>
      </c>
      <c r="D22" s="90">
        <f t="shared" ca="1" si="0"/>
        <v>-1.8747142203932254E-2</v>
      </c>
      <c r="F22" s="89" vm="168">
        <f ca="1"/>
        <v>45509</v>
      </c>
      <c r="G22" s="89" vm="170">
        <f ca="1"/>
        <v>67.760000000000005</v>
      </c>
      <c r="H22" s="90">
        <f t="shared" ca="1" si="1"/>
        <v>9.5351609058402786E-3</v>
      </c>
      <c r="J22" s="89" vm="168">
        <f ca="1"/>
        <v>45509</v>
      </c>
      <c r="K22" s="89" vm="171">
        <f ca="1"/>
        <v>34.909999999999997</v>
      </c>
      <c r="L22" s="90">
        <f t="shared" ca="1" si="2"/>
        <v>-0.19802435102228355</v>
      </c>
      <c r="N22" s="89" vm="168">
        <f ca="1"/>
        <v>45509</v>
      </c>
      <c r="O22" s="89" vm="172">
        <f ca="1"/>
        <v>7.9</v>
      </c>
      <c r="P22" s="92">
        <f t="shared" ca="1" si="3"/>
        <v>0.21538461538461551</v>
      </c>
      <c r="R22" s="89" vm="168">
        <f ca="1"/>
        <v>45509</v>
      </c>
      <c r="S22" s="89" vm="173">
        <f ca="1"/>
        <v>15.1</v>
      </c>
      <c r="T22" s="90">
        <f t="shared" ca="1" si="4"/>
        <v>6.8648266100495237E-2</v>
      </c>
      <c r="V22" vm="168">
        <f ca="1"/>
        <v>45509</v>
      </c>
      <c r="W22" vm="174">
        <f ca="1"/>
        <v>49.74</v>
      </c>
      <c r="X22" s="51">
        <f t="shared" ca="1" si="5"/>
        <v>3.4294936453500569E-3</v>
      </c>
      <c r="Z22" vm="168">
        <f ca="1"/>
        <v>45509</v>
      </c>
      <c r="AA22" vm="175">
        <f ca="1"/>
        <v>489.82</v>
      </c>
      <c r="AB22" s="51">
        <f t="shared" ca="1" si="6"/>
        <v>-1.8370721152871639E-4</v>
      </c>
      <c r="AD22" vm="168">
        <f ca="1"/>
        <v>45509</v>
      </c>
      <c r="AE22" vm="176">
        <f ca="1"/>
        <v>35025</v>
      </c>
      <c r="AF22" s="51">
        <f t="shared" ca="1" si="7"/>
        <v>-2.4636797299893876E-2</v>
      </c>
    </row>
    <row r="23" spans="2:32">
      <c r="B23" s="89" vm="177">
        <f ca="1"/>
        <v>45516</v>
      </c>
      <c r="C23" s="89" vm="178">
        <f ca="1"/>
        <v>217</v>
      </c>
      <c r="D23" s="90">
        <f t="shared" ca="1" si="0"/>
        <v>1.1183597390493905E-2</v>
      </c>
      <c r="F23" s="89" vm="177">
        <f ca="1"/>
        <v>45516</v>
      </c>
      <c r="G23" s="89" vm="179">
        <f ca="1"/>
        <v>76.180000000000007</v>
      </c>
      <c r="H23" s="90">
        <f t="shared" ca="1" si="1"/>
        <v>0.12426210153482886</v>
      </c>
      <c r="J23" s="89" vm="177">
        <f ca="1"/>
        <v>45516</v>
      </c>
      <c r="K23" s="89" vm="180">
        <f ca="1"/>
        <v>36.840000000000003</v>
      </c>
      <c r="L23" s="90">
        <f t="shared" ca="1" si="2"/>
        <v>5.5285018619307014E-2</v>
      </c>
      <c r="N23" s="89" vm="177">
        <f ca="1"/>
        <v>45516</v>
      </c>
      <c r="O23" s="89" vm="181">
        <f ca="1"/>
        <v>8</v>
      </c>
      <c r="P23" s="92">
        <f t="shared" ca="1" si="3"/>
        <v>1.2658227848101111E-2</v>
      </c>
      <c r="R23" s="89" vm="177">
        <f ca="1"/>
        <v>45516</v>
      </c>
      <c r="S23" s="89" vm="182">
        <f ca="1"/>
        <v>17.27</v>
      </c>
      <c r="T23" s="90">
        <f t="shared" ca="1" si="4"/>
        <v>0.14370860927152318</v>
      </c>
      <c r="V23" vm="177">
        <f ca="1"/>
        <v>45516</v>
      </c>
      <c r="W23" vm="183">
        <f ca="1"/>
        <v>51.01</v>
      </c>
      <c r="X23" s="51">
        <f t="shared" ca="1" si="5"/>
        <v>2.5532770406111682E-2</v>
      </c>
      <c r="Z23" vm="177">
        <f ca="1"/>
        <v>45516</v>
      </c>
      <c r="AA23" vm="184">
        <f ca="1"/>
        <v>509.45</v>
      </c>
      <c r="AB23" s="51">
        <f t="shared" ca="1" si="6"/>
        <v>4.0075946265975215E-2</v>
      </c>
      <c r="AD23" vm="185">
        <f ca="1"/>
        <v>45517</v>
      </c>
      <c r="AE23" vm="186">
        <f ca="1"/>
        <v>38062.67</v>
      </c>
      <c r="AF23" s="51">
        <f t="shared" ca="1" si="7"/>
        <v>8.6728622412562295E-2</v>
      </c>
    </row>
    <row r="24" spans="2:32">
      <c r="B24" s="89" vm="187">
        <f ca="1"/>
        <v>45523</v>
      </c>
      <c r="C24" s="89" vm="188">
        <f ca="1"/>
        <v>219.2</v>
      </c>
      <c r="D24" s="90">
        <f t="shared" ca="1" si="0"/>
        <v>1.0138248847926246E-2</v>
      </c>
      <c r="F24" s="89" vm="187">
        <f ca="1"/>
        <v>45523</v>
      </c>
      <c r="G24" s="89" vm="189">
        <f ca="1"/>
        <v>74.97</v>
      </c>
      <c r="H24" s="90">
        <f t="shared" ca="1" si="1"/>
        <v>-1.588343397217129E-2</v>
      </c>
      <c r="J24" s="89" vm="187">
        <f ca="1"/>
        <v>45523</v>
      </c>
      <c r="K24" s="89" vm="190">
        <f ca="1"/>
        <v>37.49</v>
      </c>
      <c r="L24" s="90">
        <f t="shared" ca="1" si="2"/>
        <v>1.7643865363734967E-2</v>
      </c>
      <c r="N24" s="89" vm="187">
        <f ca="1"/>
        <v>45523</v>
      </c>
      <c r="O24" s="89" vm="191">
        <f ca="1"/>
        <v>8.58</v>
      </c>
      <c r="P24" s="92">
        <f t="shared" ca="1" si="3"/>
        <v>7.2500000000000009E-2</v>
      </c>
      <c r="R24" s="89" vm="187">
        <f ca="1"/>
        <v>45523</v>
      </c>
      <c r="S24" s="89" vm="192">
        <f ca="1"/>
        <v>18.350000000000001</v>
      </c>
      <c r="T24" s="90">
        <f t="shared" ca="1" si="4"/>
        <v>6.2536189924724983E-2</v>
      </c>
      <c r="V24" vm="187">
        <f ca="1"/>
        <v>45523</v>
      </c>
      <c r="W24" vm="193">
        <f ca="1"/>
        <v>51.7</v>
      </c>
      <c r="X24" s="51">
        <f t="shared" ca="1" si="5"/>
        <v>1.3526759458929671E-2</v>
      </c>
      <c r="Z24" vm="187">
        <f ca="1"/>
        <v>45523</v>
      </c>
      <c r="AA24" vm="194">
        <f ca="1"/>
        <v>516.66</v>
      </c>
      <c r="AB24" s="51">
        <f t="shared" ca="1" si="6"/>
        <v>1.4152517420747746E-2</v>
      </c>
      <c r="AD24" vm="187">
        <f ca="1"/>
        <v>45523</v>
      </c>
      <c r="AE24" vm="195">
        <f ca="1"/>
        <v>38364.269999999997</v>
      </c>
      <c r="AF24" s="51">
        <f t="shared" ca="1" si="7"/>
        <v>7.9237741335538292E-3</v>
      </c>
    </row>
    <row r="25" spans="2:32">
      <c r="B25" s="89" vm="196">
        <f ca="1"/>
        <v>45530</v>
      </c>
      <c r="C25" s="89" vm="197">
        <f ca="1"/>
        <v>232</v>
      </c>
      <c r="D25" s="90">
        <f t="shared" ca="1" si="0"/>
        <v>5.8394160583941757E-2</v>
      </c>
      <c r="F25" s="89" vm="196">
        <f ca="1"/>
        <v>45530</v>
      </c>
      <c r="G25" s="89" vm="198">
        <f ca="1"/>
        <v>74.709999999999994</v>
      </c>
      <c r="H25" s="90">
        <f t="shared" ca="1" si="1"/>
        <v>-3.4680538882220224E-3</v>
      </c>
      <c r="J25" s="89" vm="196">
        <f ca="1"/>
        <v>45530</v>
      </c>
      <c r="K25" s="89" vm="199">
        <f ca="1"/>
        <v>39.090000000000003</v>
      </c>
      <c r="L25" s="90">
        <f t="shared" ca="1" si="2"/>
        <v>4.2678047479327796E-2</v>
      </c>
      <c r="N25" s="89" vm="196">
        <f ca="1"/>
        <v>45530</v>
      </c>
      <c r="O25" s="89" vm="200">
        <f ca="1"/>
        <v>7.69</v>
      </c>
      <c r="P25" s="92">
        <f t="shared" ca="1" si="3"/>
        <v>-0.10372960372960371</v>
      </c>
      <c r="R25" s="89" vm="196">
        <f ca="1"/>
        <v>45530</v>
      </c>
      <c r="S25" s="89" vm="201">
        <f ca="1"/>
        <v>19.850000000000001</v>
      </c>
      <c r="T25" s="90">
        <f t="shared" ca="1" si="4"/>
        <v>8.1743869209809361E-2</v>
      </c>
      <c r="V25" vm="196">
        <f ca="1"/>
        <v>45530</v>
      </c>
      <c r="W25" vm="202">
        <f ca="1"/>
        <v>52.39</v>
      </c>
      <c r="X25" s="51">
        <f t="shared" ca="1" si="5"/>
        <v>1.3346228239845326E-2</v>
      </c>
      <c r="Z25" vm="196">
        <f ca="1"/>
        <v>45530</v>
      </c>
      <c r="AA25" vm="203">
        <f ca="1"/>
        <v>518.04</v>
      </c>
      <c r="AB25" s="51">
        <f t="shared" ca="1" si="6"/>
        <v>2.6710022064799777E-3</v>
      </c>
      <c r="AD25" vm="196">
        <f ca="1"/>
        <v>45530</v>
      </c>
      <c r="AE25" vm="204">
        <f ca="1"/>
        <v>38647.75</v>
      </c>
      <c r="AF25" s="51">
        <f t="shared" ca="1" si="7"/>
        <v>7.3891670557006961E-3</v>
      </c>
    </row>
    <row r="26" spans="2:32">
      <c r="B26" s="89" vm="205">
        <f ca="1"/>
        <v>45537</v>
      </c>
      <c r="C26" s="89" vm="206">
        <f ca="1"/>
        <v>220.7</v>
      </c>
      <c r="D26" s="90">
        <f t="shared" ca="1" si="0"/>
        <v>-4.8706896551724221E-2</v>
      </c>
      <c r="F26" s="89" vm="205">
        <f ca="1"/>
        <v>45537</v>
      </c>
      <c r="G26" s="89" vm="207">
        <f ca="1"/>
        <v>72.94</v>
      </c>
      <c r="H26" s="90">
        <f t="shared" ca="1" si="1"/>
        <v>-2.3691607549190197E-2</v>
      </c>
      <c r="J26" s="89" vm="205">
        <f ca="1"/>
        <v>45537</v>
      </c>
      <c r="K26" s="89" vm="208">
        <f ca="1"/>
        <v>38.99</v>
      </c>
      <c r="L26" s="90">
        <f t="shared" ca="1" si="2"/>
        <v>-2.5581990278844557E-3</v>
      </c>
      <c r="N26" s="89" vm="209">
        <f ca="1"/>
        <v>45538</v>
      </c>
      <c r="O26" s="89" vm="210">
        <f ca="1"/>
        <v>7.79</v>
      </c>
      <c r="P26" s="92">
        <f t="shared" ca="1" si="3"/>
        <v>1.3003901170351106E-2</v>
      </c>
      <c r="R26" s="89" vm="209">
        <f ca="1"/>
        <v>45538</v>
      </c>
      <c r="S26" s="89" vm="211">
        <f ca="1"/>
        <v>18.18</v>
      </c>
      <c r="T26" s="90">
        <f t="shared" ca="1" si="4"/>
        <v>-8.4130982367758289E-2</v>
      </c>
      <c r="V26" vm="205">
        <f ca="1"/>
        <v>45537</v>
      </c>
      <c r="W26" vm="212">
        <f ca="1"/>
        <v>50.55</v>
      </c>
      <c r="X26" s="51">
        <f t="shared" ca="1" si="5"/>
        <v>-3.5121206337087263E-2</v>
      </c>
      <c r="Z26" vm="209">
        <f ca="1"/>
        <v>45538</v>
      </c>
      <c r="AA26" vm="213">
        <f ca="1"/>
        <v>496.64</v>
      </c>
      <c r="AB26" s="51">
        <f t="shared" ca="1" si="6"/>
        <v>-4.1309551385993348E-2</v>
      </c>
      <c r="AD26" vm="205">
        <f ca="1"/>
        <v>45537</v>
      </c>
      <c r="AE26" vm="214">
        <f ca="1"/>
        <v>36391.47</v>
      </c>
      <c r="AF26" s="51">
        <f t="shared" ca="1" si="7"/>
        <v>-5.8380630178988424E-2</v>
      </c>
    </row>
    <row r="27" spans="2:32">
      <c r="B27" s="89" vm="215">
        <f ca="1"/>
        <v>45544</v>
      </c>
      <c r="C27" s="89" vm="216">
        <f ca="1"/>
        <v>218.5</v>
      </c>
      <c r="D27" s="90">
        <f t="shared" ca="1" si="0"/>
        <v>-9.9682827367466587E-3</v>
      </c>
      <c r="F27" s="89" vm="215">
        <f ca="1"/>
        <v>45544</v>
      </c>
      <c r="G27" s="89" vm="217">
        <f ca="1"/>
        <v>71.290000000000006</v>
      </c>
      <c r="H27" s="90">
        <f t="shared" ca="1" si="1"/>
        <v>-2.2621332602138611E-2</v>
      </c>
      <c r="J27" s="89" vm="215">
        <f ca="1"/>
        <v>45544</v>
      </c>
      <c r="K27" s="89" vm="218">
        <f ca="1"/>
        <v>38.299999999999997</v>
      </c>
      <c r="L27" s="90">
        <f t="shared" ca="1" si="2"/>
        <v>-1.769684534496041E-2</v>
      </c>
      <c r="N27" s="89" vm="215">
        <f ca="1"/>
        <v>45544</v>
      </c>
      <c r="O27" s="89" vm="219">
        <f ca="1"/>
        <v>7.65</v>
      </c>
      <c r="P27" s="92">
        <f t="shared" ca="1" si="3"/>
        <v>-1.797175866495504E-2</v>
      </c>
      <c r="R27" s="89" vm="215">
        <f ca="1"/>
        <v>45544</v>
      </c>
      <c r="S27" s="89" vm="220">
        <f ca="1"/>
        <v>19.329999999999998</v>
      </c>
      <c r="T27" s="90">
        <f t="shared" ca="1" si="4"/>
        <v>6.3256325632563115E-2</v>
      </c>
      <c r="V27" vm="215">
        <f ca="1"/>
        <v>45544</v>
      </c>
      <c r="W27" vm="221">
        <f ca="1"/>
        <v>51.47</v>
      </c>
      <c r="X27" s="51">
        <f t="shared" ca="1" si="5"/>
        <v>1.8199802176063429E-2</v>
      </c>
      <c r="Z27" vm="215">
        <f ca="1"/>
        <v>45544</v>
      </c>
      <c r="AA27" vm="222">
        <f ca="1"/>
        <v>516.57000000000005</v>
      </c>
      <c r="AB27" s="51">
        <f t="shared" ca="1" si="6"/>
        <v>4.0129671391752719E-2</v>
      </c>
      <c r="AD27" vm="215">
        <f ca="1"/>
        <v>45544</v>
      </c>
      <c r="AE27" vm="223">
        <f ca="1"/>
        <v>36581.760000000002</v>
      </c>
      <c r="AF27" s="51">
        <f t="shared" ca="1" si="7"/>
        <v>5.228972613637195E-3</v>
      </c>
    </row>
    <row r="28" spans="2:32">
      <c r="B28" s="89" vm="224">
        <f ca="1"/>
        <v>45551</v>
      </c>
      <c r="C28" s="89" vm="105">
        <f ca="1"/>
        <v>217.8</v>
      </c>
      <c r="D28" s="90">
        <f t="shared" ca="1" si="0"/>
        <v>-3.2036613272310444E-3</v>
      </c>
      <c r="F28" s="89" vm="224">
        <f ca="1"/>
        <v>45551</v>
      </c>
      <c r="G28" s="89" vm="225">
        <f ca="1"/>
        <v>77.22</v>
      </c>
      <c r="H28" s="90">
        <f t="shared" ca="1" si="1"/>
        <v>8.3181371861410947E-2</v>
      </c>
      <c r="J28" s="89" vm="224">
        <f ca="1"/>
        <v>45551</v>
      </c>
      <c r="K28" s="89" vm="226">
        <f ca="1"/>
        <v>35.270000000000003</v>
      </c>
      <c r="L28" s="90">
        <f t="shared" ca="1" si="2"/>
        <v>-7.9112271540469847E-2</v>
      </c>
      <c r="N28" s="89" vm="224">
        <f ca="1"/>
        <v>45551</v>
      </c>
      <c r="O28" s="89" vm="227">
        <f ca="1"/>
        <v>7.99</v>
      </c>
      <c r="P28" s="92">
        <f t="shared" ca="1" si="3"/>
        <v>4.4444444444444509E-2</v>
      </c>
      <c r="R28" s="89" vm="224">
        <f ca="1"/>
        <v>45551</v>
      </c>
      <c r="S28" s="89" vm="228">
        <f ca="1"/>
        <v>20.594999999999999</v>
      </c>
      <c r="T28" s="90">
        <f t="shared" ca="1" si="4"/>
        <v>6.5442317640972636E-2</v>
      </c>
      <c r="V28" vm="224">
        <f ca="1"/>
        <v>45551</v>
      </c>
      <c r="W28" vm="229">
        <f ca="1"/>
        <v>50.79</v>
      </c>
      <c r="X28" s="51">
        <f t="shared" ca="1" si="5"/>
        <v>-1.3211579560909237E-2</v>
      </c>
      <c r="Z28" vm="224">
        <f ca="1"/>
        <v>45551</v>
      </c>
      <c r="AA28" vm="230">
        <f ca="1"/>
        <v>523.88</v>
      </c>
      <c r="AB28" s="51">
        <f t="shared" ca="1" si="6"/>
        <v>1.415103470971979E-2</v>
      </c>
      <c r="AD28" vm="231">
        <f ca="1"/>
        <v>45552</v>
      </c>
      <c r="AE28" vm="232">
        <f ca="1"/>
        <v>37723.910000000003</v>
      </c>
      <c r="AF28" s="51">
        <f t="shared" ca="1" si="7"/>
        <v>3.1221843891600765E-2</v>
      </c>
    </row>
    <row r="29" spans="2:32">
      <c r="B29" s="89" vm="233">
        <f ca="1"/>
        <v>45558</v>
      </c>
      <c r="C29" s="89" vm="234">
        <f ca="1"/>
        <v>240.3</v>
      </c>
      <c r="D29" s="90">
        <f t="shared" ca="1" si="0"/>
        <v>0.10330578512396693</v>
      </c>
      <c r="F29" s="89" vm="233">
        <f ca="1"/>
        <v>45558</v>
      </c>
      <c r="G29" s="89" vm="235">
        <f ca="1"/>
        <v>80.56</v>
      </c>
      <c r="H29" s="90">
        <f t="shared" ca="1" si="1"/>
        <v>4.3253043253043355E-2</v>
      </c>
      <c r="J29" s="89" vm="233">
        <f ca="1"/>
        <v>45558</v>
      </c>
      <c r="K29" s="89" vm="236">
        <f ca="1"/>
        <v>38.619999999999997</v>
      </c>
      <c r="L29" s="90">
        <f t="shared" ca="1" si="2"/>
        <v>9.4981570740005461E-2</v>
      </c>
      <c r="N29" s="89" vm="233">
        <f ca="1"/>
        <v>45558</v>
      </c>
      <c r="O29" s="89" vm="237">
        <f ca="1"/>
        <v>8.94</v>
      </c>
      <c r="P29" s="92">
        <f t="shared" ca="1" si="3"/>
        <v>0.11889862327909873</v>
      </c>
      <c r="R29" s="89" vm="233">
        <f ca="1"/>
        <v>45558</v>
      </c>
      <c r="S29" s="89" vm="238">
        <f ca="1"/>
        <v>20.5487</v>
      </c>
      <c r="T29" s="90">
        <f t="shared" ca="1" si="4"/>
        <v>-2.2481184753579964E-3</v>
      </c>
      <c r="V29" vm="233">
        <f ca="1"/>
        <v>45558</v>
      </c>
      <c r="W29" vm="239">
        <f ca="1"/>
        <v>52.23</v>
      </c>
      <c r="X29" s="51">
        <f t="shared" ca="1" si="5"/>
        <v>2.8352037802717112E-2</v>
      </c>
      <c r="Z29" vm="233">
        <f ca="1"/>
        <v>45558</v>
      </c>
      <c r="AA29" vm="240">
        <f ca="1"/>
        <v>525.38</v>
      </c>
      <c r="AB29" s="51">
        <f t="shared" ca="1" si="6"/>
        <v>2.8632511262121074E-3</v>
      </c>
      <c r="AD29" vm="241">
        <f ca="1"/>
        <v>45559</v>
      </c>
      <c r="AE29" vm="242">
        <f ca="1"/>
        <v>39829.56</v>
      </c>
      <c r="AF29" s="51">
        <f t="shared" ca="1" si="7"/>
        <v>5.5817384783284574E-2</v>
      </c>
    </row>
    <row r="30" spans="2:32">
      <c r="B30" s="89" vm="243">
        <f ca="1"/>
        <v>45565</v>
      </c>
      <c r="C30" s="89" vm="244">
        <f ca="1"/>
        <v>238.2</v>
      </c>
      <c r="D30" s="90">
        <f t="shared" ca="1" si="0"/>
        <v>-8.7390761548066243E-3</v>
      </c>
      <c r="F30" s="89" vm="243">
        <f ca="1"/>
        <v>45565</v>
      </c>
      <c r="G30" s="89" vm="245">
        <f ca="1"/>
        <v>75.28</v>
      </c>
      <c r="H30" s="90">
        <f t="shared" ca="1" si="1"/>
        <v>-6.5541211519364428E-2</v>
      </c>
      <c r="J30" s="89" vm="243">
        <f ca="1"/>
        <v>45565</v>
      </c>
      <c r="K30" s="89" vm="246">
        <f ca="1"/>
        <v>37.11</v>
      </c>
      <c r="L30" s="90">
        <f t="shared" ca="1" si="2"/>
        <v>-3.909891248057995E-2</v>
      </c>
      <c r="N30" s="89" vm="243">
        <f ca="1"/>
        <v>45565</v>
      </c>
      <c r="O30" s="89" vm="247">
        <f ca="1"/>
        <v>8.84</v>
      </c>
      <c r="P30" s="92">
        <f t="shared" ca="1" si="3"/>
        <v>-1.1185682326621871E-2</v>
      </c>
      <c r="R30" s="89" vm="243">
        <f ca="1"/>
        <v>45565</v>
      </c>
      <c r="S30" s="89" vm="248">
        <f ca="1"/>
        <v>19.78</v>
      </c>
      <c r="T30" s="90">
        <f t="shared" ca="1" si="4"/>
        <v>-3.7408692520694675E-2</v>
      </c>
      <c r="V30" vm="243">
        <f ca="1"/>
        <v>45565</v>
      </c>
      <c r="W30" vm="249">
        <f ca="1"/>
        <v>51.26</v>
      </c>
      <c r="X30" s="51">
        <f t="shared" ca="1" si="5"/>
        <v>-1.8571702086923159E-2</v>
      </c>
      <c r="Z30" vm="243">
        <f ca="1"/>
        <v>45565</v>
      </c>
      <c r="AA30" vm="250">
        <f ca="1"/>
        <v>526.65</v>
      </c>
      <c r="AB30" s="51">
        <f t="shared" ca="1" si="6"/>
        <v>2.4172979557652852E-3</v>
      </c>
      <c r="AD30" vm="243">
        <f ca="1"/>
        <v>45565</v>
      </c>
      <c r="AE30" vm="251">
        <f ca="1"/>
        <v>38635.620000000003</v>
      </c>
      <c r="AF30" s="51">
        <f t="shared" ca="1" si="7"/>
        <v>-2.9976228710535513E-2</v>
      </c>
    </row>
    <row r="31" spans="2:32">
      <c r="B31" s="89" vm="252">
        <f ca="1"/>
        <v>45572</v>
      </c>
      <c r="C31" s="89" vm="253">
        <f ca="1"/>
        <v>233.6</v>
      </c>
      <c r="D31" s="90">
        <f t="shared" ca="1" si="0"/>
        <v>-1.9311502938706981E-2</v>
      </c>
      <c r="F31" s="89" vm="252">
        <f ca="1"/>
        <v>45572</v>
      </c>
      <c r="G31" s="89" vm="254">
        <f ca="1"/>
        <v>74.540000000000006</v>
      </c>
      <c r="H31" s="90">
        <f t="shared" ca="1" si="1"/>
        <v>-9.8299681190222588E-3</v>
      </c>
      <c r="J31" s="89" vm="252">
        <f ca="1"/>
        <v>45572</v>
      </c>
      <c r="K31" s="89" vm="255">
        <f ca="1"/>
        <v>36.200000000000003</v>
      </c>
      <c r="L31" s="90">
        <f t="shared" ca="1" si="2"/>
        <v>-2.4521692266235462E-2</v>
      </c>
      <c r="N31" s="89" vm="252">
        <f ca="1"/>
        <v>45572</v>
      </c>
      <c r="O31" s="89" vm="256">
        <f ca="1"/>
        <v>8.31</v>
      </c>
      <c r="P31" s="92">
        <f t="shared" ca="1" si="3"/>
        <v>-5.9954751131221617E-2</v>
      </c>
      <c r="R31" s="89" vm="252">
        <f ca="1"/>
        <v>45572</v>
      </c>
      <c r="S31" s="89" vm="257">
        <f ca="1"/>
        <v>18.95</v>
      </c>
      <c r="T31" s="90">
        <f t="shared" ca="1" si="4"/>
        <v>-4.1961577350859591E-2</v>
      </c>
      <c r="V31" vm="252">
        <f ca="1"/>
        <v>45572</v>
      </c>
      <c r="W31" vm="258">
        <f ca="1"/>
        <v>51.62</v>
      </c>
      <c r="X31" s="51">
        <f t="shared" ca="1" si="5"/>
        <v>7.0230198985563597E-3</v>
      </c>
      <c r="Z31" vm="252">
        <f ca="1"/>
        <v>45572</v>
      </c>
      <c r="AA31" vm="259">
        <f ca="1"/>
        <v>532.71</v>
      </c>
      <c r="AB31" s="51">
        <f t="shared" ca="1" si="6"/>
        <v>1.1506693249786482E-2</v>
      </c>
      <c r="AD31" vm="252">
        <f ca="1"/>
        <v>45572</v>
      </c>
      <c r="AE31" vm="260">
        <f ca="1"/>
        <v>39605.800000000003</v>
      </c>
      <c r="AF31" s="51">
        <f t="shared" ca="1" si="7"/>
        <v>2.5111024489836042E-2</v>
      </c>
    </row>
    <row r="32" spans="2:32">
      <c r="B32" s="89" vm="261">
        <f ca="1"/>
        <v>45579</v>
      </c>
      <c r="C32" s="89" vm="262">
        <f ca="1"/>
        <v>227.9</v>
      </c>
      <c r="D32" s="90">
        <f t="shared" ca="1" si="0"/>
        <v>-2.4400684931506822E-2</v>
      </c>
      <c r="F32" s="89" vm="261">
        <f ca="1"/>
        <v>45579</v>
      </c>
      <c r="G32" s="89" vm="263">
        <f ca="1"/>
        <v>76.34</v>
      </c>
      <c r="H32" s="90">
        <f t="shared" ca="1" si="1"/>
        <v>2.4148108398175383E-2</v>
      </c>
      <c r="J32" s="89" vm="261">
        <f ca="1"/>
        <v>45579</v>
      </c>
      <c r="K32" s="89" vm="264">
        <f ca="1"/>
        <v>39.369999999999997</v>
      </c>
      <c r="L32" s="90">
        <f t="shared" ca="1" si="2"/>
        <v>8.7569060773480478E-2</v>
      </c>
      <c r="N32" s="89" vm="261">
        <f ca="1"/>
        <v>45579</v>
      </c>
      <c r="O32" s="89" vm="265">
        <f ca="1"/>
        <v>9.36</v>
      </c>
      <c r="P32" s="92">
        <f t="shared" ca="1" si="3"/>
        <v>0.12635379061371821</v>
      </c>
      <c r="R32" s="89" vm="261">
        <f ca="1"/>
        <v>45579</v>
      </c>
      <c r="S32" s="89" vm="266">
        <f ca="1"/>
        <v>18.616</v>
      </c>
      <c r="T32" s="90">
        <f t="shared" ca="1" si="4"/>
        <v>-1.7625329815303403E-2</v>
      </c>
      <c r="V32" vm="261">
        <f ca="1"/>
        <v>45579</v>
      </c>
      <c r="W32" vm="267">
        <f ca="1"/>
        <v>51.93</v>
      </c>
      <c r="X32" s="51">
        <f t="shared" ca="1" si="5"/>
        <v>6.0054242541651703E-3</v>
      </c>
      <c r="Z32" vm="261">
        <f ca="1"/>
        <v>45579</v>
      </c>
      <c r="AA32" vm="268">
        <f ca="1"/>
        <v>537.36</v>
      </c>
      <c r="AB32" s="51">
        <f t="shared" ca="1" si="6"/>
        <v>8.7289519626061463E-3</v>
      </c>
      <c r="AD32" vm="269">
        <f ca="1"/>
        <v>45580</v>
      </c>
      <c r="AE32" vm="270">
        <f ca="1"/>
        <v>38981.75</v>
      </c>
      <c r="AF32" s="51">
        <f t="shared" ca="1" si="7"/>
        <v>-1.5756530609153274E-2</v>
      </c>
    </row>
    <row r="33" spans="2:32">
      <c r="B33" s="89" vm="271">
        <f ca="1"/>
        <v>45586</v>
      </c>
      <c r="C33" s="89" vm="178">
        <f ca="1"/>
        <v>217</v>
      </c>
      <c r="D33" s="90">
        <f t="shared" ca="1" si="0"/>
        <v>-4.7827994734532697E-2</v>
      </c>
      <c r="F33" s="89" vm="271">
        <f ca="1"/>
        <v>45586</v>
      </c>
      <c r="G33" s="89" vm="272">
        <f ca="1"/>
        <v>73.05</v>
      </c>
      <c r="H33" s="90">
        <f t="shared" ca="1" si="1"/>
        <v>-4.3096672779669998E-2</v>
      </c>
      <c r="J33" s="89" vm="271">
        <f ca="1"/>
        <v>45586</v>
      </c>
      <c r="K33" s="89" vm="273">
        <f ca="1"/>
        <v>42.54</v>
      </c>
      <c r="L33" s="90">
        <f t="shared" ca="1" si="2"/>
        <v>8.0518161036322144E-2</v>
      </c>
      <c r="N33" s="89" vm="271">
        <f ca="1"/>
        <v>45586</v>
      </c>
      <c r="O33" s="89" vm="274">
        <f ca="1"/>
        <v>8.6300000000000008</v>
      </c>
      <c r="P33" s="92">
        <f t="shared" ca="1" si="3"/>
        <v>-7.7991452991452825E-2</v>
      </c>
      <c r="R33" s="89" vm="271">
        <f ca="1"/>
        <v>45586</v>
      </c>
      <c r="S33" s="89" vm="275">
        <f ca="1"/>
        <v>17.36</v>
      </c>
      <c r="T33" s="90">
        <f t="shared" ca="1" si="4"/>
        <v>-6.7468844005156847E-2</v>
      </c>
      <c r="V33" vm="271">
        <f ca="1"/>
        <v>45586</v>
      </c>
      <c r="W33" vm="276">
        <f ca="1"/>
        <v>51.34</v>
      </c>
      <c r="X33" s="51">
        <f t="shared" ca="1" si="5"/>
        <v>-1.1361448103215821E-2</v>
      </c>
      <c r="Z33" vm="271">
        <f ca="1"/>
        <v>45586</v>
      </c>
      <c r="AA33" vm="277">
        <f ca="1"/>
        <v>532.26</v>
      </c>
      <c r="AB33" s="51">
        <f t="shared" ca="1" si="6"/>
        <v>-9.4908441268424237E-3</v>
      </c>
      <c r="AD33" vm="271">
        <f ca="1"/>
        <v>45586</v>
      </c>
      <c r="AE33" vm="278">
        <f ca="1"/>
        <v>37913.919999999998</v>
      </c>
      <c r="AF33" s="51">
        <f t="shared" ca="1" si="7"/>
        <v>-2.7393074964566777E-2</v>
      </c>
    </row>
    <row r="34" spans="2:32">
      <c r="B34" s="89" vm="279">
        <f ca="1"/>
        <v>45593</v>
      </c>
      <c r="C34" s="89" vm="280">
        <f ca="1"/>
        <v>222.1</v>
      </c>
      <c r="D34" s="90">
        <f t="shared" ca="1" si="0"/>
        <v>2.3502304147465347E-2</v>
      </c>
      <c r="F34" s="89" vm="279">
        <f ca="1"/>
        <v>45593</v>
      </c>
      <c r="G34" s="89" vm="281">
        <f ca="1"/>
        <v>71.540000000000006</v>
      </c>
      <c r="H34" s="90">
        <f t="shared" ca="1" si="1"/>
        <v>-2.067077344284729E-2</v>
      </c>
      <c r="J34" s="89" vm="279">
        <f ca="1"/>
        <v>45593</v>
      </c>
      <c r="K34" s="89" vm="282">
        <f ca="1"/>
        <v>43.08</v>
      </c>
      <c r="L34" s="90">
        <f t="shared" ca="1" si="2"/>
        <v>1.2693935119887145E-2</v>
      </c>
      <c r="N34" s="89" vm="279">
        <f ca="1"/>
        <v>45593</v>
      </c>
      <c r="O34" s="89" vm="283">
        <f ca="1"/>
        <v>8.52</v>
      </c>
      <c r="P34" s="92">
        <f t="shared" ca="1" si="3"/>
        <v>-1.274623406720754E-2</v>
      </c>
      <c r="R34" s="89" vm="279">
        <f ca="1"/>
        <v>45593</v>
      </c>
      <c r="S34" s="89" vm="284">
        <f ca="1"/>
        <v>17.329999999999998</v>
      </c>
      <c r="T34" s="90">
        <f t="shared" ca="1" si="4"/>
        <v>-1.7281105990784029E-3</v>
      </c>
      <c r="V34" vm="279">
        <f ca="1"/>
        <v>45593</v>
      </c>
      <c r="W34" vm="285">
        <f ca="1"/>
        <v>50.57</v>
      </c>
      <c r="X34" s="51">
        <f t="shared" ca="1" si="5"/>
        <v>-1.4998052201012912E-2</v>
      </c>
      <c r="Z34" vm="279">
        <f ca="1"/>
        <v>45593</v>
      </c>
      <c r="AA34" vm="286">
        <f ca="1"/>
        <v>524.94000000000005</v>
      </c>
      <c r="AB34" s="51">
        <f t="shared" ca="1" si="6"/>
        <v>-1.3752677262991675E-2</v>
      </c>
      <c r="AD34" vm="279">
        <f ca="1"/>
        <v>45593</v>
      </c>
      <c r="AE34" vm="287">
        <f ca="1"/>
        <v>38053.67</v>
      </c>
      <c r="AF34" s="51">
        <f t="shared" ca="1" si="7"/>
        <v>3.685981296579266E-3</v>
      </c>
    </row>
    <row r="35" spans="2:32">
      <c r="B35" s="89" vm="288">
        <f ca="1"/>
        <v>45600</v>
      </c>
      <c r="C35" s="89" vm="289">
        <f ca="1"/>
        <v>219</v>
      </c>
      <c r="D35" s="90">
        <f t="shared" ca="1" si="0"/>
        <v>-1.3957676722197165E-2</v>
      </c>
      <c r="F35" s="89" vm="288">
        <f ca="1"/>
        <v>45600</v>
      </c>
      <c r="G35" s="89" vm="290">
        <f ca="1"/>
        <v>71.14</v>
      </c>
      <c r="H35" s="90">
        <f t="shared" ca="1" si="1"/>
        <v>-5.5912776069332315E-3</v>
      </c>
      <c r="J35" s="89" vm="288">
        <f ca="1"/>
        <v>45600</v>
      </c>
      <c r="K35" s="89" vm="291">
        <f ca="1"/>
        <v>45.74</v>
      </c>
      <c r="L35" s="90">
        <f t="shared" ca="1" si="2"/>
        <v>6.1745589600742834E-2</v>
      </c>
      <c r="N35" s="89" vm="288">
        <f ca="1"/>
        <v>45600</v>
      </c>
      <c r="O35" s="89" vm="292">
        <f ca="1"/>
        <v>9.68</v>
      </c>
      <c r="P35" s="92">
        <f t="shared" ca="1" si="3"/>
        <v>0.136150234741784</v>
      </c>
      <c r="R35" s="89" vm="288">
        <f ca="1"/>
        <v>45600</v>
      </c>
      <c r="S35" s="89" vm="293">
        <f ca="1"/>
        <v>16.93</v>
      </c>
      <c r="T35" s="90">
        <f t="shared" ca="1" si="4"/>
        <v>-2.3081361800346145E-2</v>
      </c>
      <c r="V35" vm="288">
        <f ca="1"/>
        <v>45600</v>
      </c>
      <c r="W35" vm="294">
        <f ca="1"/>
        <v>50.16</v>
      </c>
      <c r="X35" s="51">
        <f t="shared" ca="1" si="5"/>
        <v>-8.1075736602729265E-3</v>
      </c>
      <c r="Z35" vm="288">
        <f ca="1"/>
        <v>45600</v>
      </c>
      <c r="AA35" vm="295">
        <f ca="1"/>
        <v>549.95000000000005</v>
      </c>
      <c r="AB35" s="51">
        <f t="shared" ca="1" si="6"/>
        <v>4.7643540214119762E-2</v>
      </c>
      <c r="AD35" vm="288">
        <f ca="1"/>
        <v>45600</v>
      </c>
      <c r="AE35" vm="296">
        <f ca="1"/>
        <v>39500.370000000003</v>
      </c>
      <c r="AF35" s="51">
        <f t="shared" ca="1" si="7"/>
        <v>3.8017358115524758E-2</v>
      </c>
    </row>
    <row r="36" spans="2:32">
      <c r="B36" s="89" vm="297">
        <f ca="1"/>
        <v>45607</v>
      </c>
      <c r="C36" s="89" vm="298">
        <f ca="1"/>
        <v>215</v>
      </c>
      <c r="D36" s="90">
        <f t="shared" ca="1" si="0"/>
        <v>-1.8264840182648401E-2</v>
      </c>
      <c r="F36" s="89" vm="297">
        <f ca="1"/>
        <v>45607</v>
      </c>
      <c r="G36" s="89" vm="299">
        <f ca="1"/>
        <v>72.63</v>
      </c>
      <c r="H36" s="90">
        <f t="shared" ca="1" si="1"/>
        <v>2.0944616249648496E-2</v>
      </c>
      <c r="J36" s="89" vm="297">
        <f ca="1"/>
        <v>45607</v>
      </c>
      <c r="K36" s="89" vm="300">
        <f ca="1"/>
        <v>46.54</v>
      </c>
      <c r="L36" s="90">
        <f t="shared" ca="1" si="2"/>
        <v>1.7490161783996427E-2</v>
      </c>
      <c r="N36" s="89" vm="297">
        <f ca="1"/>
        <v>45607</v>
      </c>
      <c r="O36" s="89" vm="301">
        <f ca="1"/>
        <v>9.94</v>
      </c>
      <c r="P36" s="92">
        <f t="shared" ca="1" si="3"/>
        <v>2.6859504132231482E-2</v>
      </c>
      <c r="R36" s="89" vm="297">
        <f ca="1"/>
        <v>45607</v>
      </c>
      <c r="S36" s="89" vm="302">
        <f ca="1"/>
        <v>17.34</v>
      </c>
      <c r="T36" s="90">
        <f t="shared" ca="1" si="4"/>
        <v>2.421736562315413E-2</v>
      </c>
      <c r="V36" vm="297">
        <f ca="1"/>
        <v>45607</v>
      </c>
      <c r="W36" vm="303">
        <f ca="1"/>
        <v>49.8</v>
      </c>
      <c r="X36" s="51">
        <f t="shared" ca="1" si="5"/>
        <v>-7.1770334928229484E-3</v>
      </c>
      <c r="Z36" vm="297">
        <f ca="1"/>
        <v>45607</v>
      </c>
      <c r="AA36" vm="304">
        <f ca="1"/>
        <v>538.5</v>
      </c>
      <c r="AB36" s="51">
        <f t="shared" ca="1" si="6"/>
        <v>-2.0820074552232115E-2</v>
      </c>
      <c r="AD36" vm="297">
        <f ca="1"/>
        <v>45607</v>
      </c>
      <c r="AE36" vm="305">
        <f ca="1"/>
        <v>38642.910000000003</v>
      </c>
      <c r="AF36" s="51">
        <f t="shared" ca="1" si="7"/>
        <v>-2.17076447638338E-2</v>
      </c>
    </row>
    <row r="37" spans="2:32">
      <c r="B37" s="89" vm="306">
        <f ca="1"/>
        <v>45614</v>
      </c>
      <c r="C37" s="89" vm="307">
        <f ca="1"/>
        <v>214.4</v>
      </c>
      <c r="D37" s="90">
        <f t="shared" ca="1" si="0"/>
        <v>-2.7906976744185297E-3</v>
      </c>
      <c r="F37" s="89" vm="306">
        <f ca="1"/>
        <v>45614</v>
      </c>
      <c r="G37" s="89" vm="308">
        <f ca="1"/>
        <v>73.92</v>
      </c>
      <c r="H37" s="90">
        <f t="shared" ca="1" si="1"/>
        <v>1.7761255679471288E-2</v>
      </c>
      <c r="J37" s="89" vm="306">
        <f ca="1"/>
        <v>45614</v>
      </c>
      <c r="K37" s="89" vm="309">
        <f ca="1"/>
        <v>43.83</v>
      </c>
      <c r="L37" s="90">
        <f t="shared" ca="1" si="2"/>
        <v>-5.8229480017189528E-2</v>
      </c>
      <c r="N37" s="89" vm="306">
        <f ca="1"/>
        <v>45614</v>
      </c>
      <c r="O37" s="89" vm="310">
        <f ca="1"/>
        <v>9.52</v>
      </c>
      <c r="P37" s="92">
        <f t="shared" ca="1" si="3"/>
        <v>-4.2253521126760507E-2</v>
      </c>
      <c r="R37" s="89" vm="306">
        <f ca="1"/>
        <v>45614</v>
      </c>
      <c r="S37" s="89" vm="311">
        <f ca="1"/>
        <v>18.57</v>
      </c>
      <c r="T37" s="90">
        <f t="shared" ca="1" si="4"/>
        <v>7.0934256055363409E-2</v>
      </c>
      <c r="V37" vm="306">
        <f ca="1"/>
        <v>45614</v>
      </c>
      <c r="W37" vm="312">
        <f ca="1"/>
        <v>50.41</v>
      </c>
      <c r="X37" s="51">
        <f t="shared" ca="1" si="5"/>
        <v>1.2248995983935806E-2</v>
      </c>
      <c r="Z37" vm="306">
        <f ca="1"/>
        <v>45614</v>
      </c>
      <c r="AA37" vm="313">
        <f ca="1"/>
        <v>547.47</v>
      </c>
      <c r="AB37" s="51">
        <f t="shared" ca="1" si="6"/>
        <v>1.6657381615599043E-2</v>
      </c>
      <c r="AD37" vm="306">
        <f ca="1"/>
        <v>45614</v>
      </c>
      <c r="AE37" vm="314">
        <f ca="1"/>
        <v>38283.85</v>
      </c>
      <c r="AF37" s="51">
        <f t="shared" ca="1" si="7"/>
        <v>-9.2917432978004699E-3</v>
      </c>
    </row>
    <row r="38" spans="2:32">
      <c r="B38" s="89" vm="315">
        <f ca="1"/>
        <v>45621</v>
      </c>
      <c r="C38" s="89" vm="316">
        <f ca="1"/>
        <v>223.1</v>
      </c>
      <c r="D38" s="90">
        <f t="shared" ca="1" si="0"/>
        <v>4.0578358208955168E-2</v>
      </c>
      <c r="F38" s="89" vm="315">
        <f ca="1"/>
        <v>45621</v>
      </c>
      <c r="G38" s="89" vm="317">
        <f ca="1"/>
        <v>75.05</v>
      </c>
      <c r="H38" s="90">
        <f t="shared" ca="1" si="1"/>
        <v>1.5286796536796432E-2</v>
      </c>
      <c r="J38" s="89" vm="315">
        <f ca="1"/>
        <v>45621</v>
      </c>
      <c r="K38" s="89" vm="318">
        <f ca="1"/>
        <v>44.3</v>
      </c>
      <c r="L38" s="90">
        <f t="shared" ca="1" si="2"/>
        <v>1.0723248916267414E-2</v>
      </c>
      <c r="N38" s="89" vm="315">
        <f ca="1"/>
        <v>45621</v>
      </c>
      <c r="O38" s="89" vm="319">
        <f ca="1"/>
        <v>9.7100000000000009</v>
      </c>
      <c r="P38" s="92">
        <f t="shared" ca="1" si="3"/>
        <v>1.9957983193277462E-2</v>
      </c>
      <c r="R38" s="89" vm="315">
        <f ca="1"/>
        <v>45621</v>
      </c>
      <c r="S38" s="89" vm="320">
        <f ca="1"/>
        <v>20.36</v>
      </c>
      <c r="T38" s="90">
        <f t="shared" ca="1" si="4"/>
        <v>9.639203015616582E-2</v>
      </c>
      <c r="V38" vm="315">
        <f ca="1"/>
        <v>45621</v>
      </c>
      <c r="W38" vm="321">
        <f ca="1"/>
        <v>50.56</v>
      </c>
      <c r="X38" s="51">
        <f t="shared" ca="1" si="5"/>
        <v>2.9756000793494941E-3</v>
      </c>
      <c r="Z38" vm="315">
        <f ca="1"/>
        <v>45621</v>
      </c>
      <c r="AA38" vm="322">
        <f ca="1"/>
        <v>553.45000000000005</v>
      </c>
      <c r="AB38" s="51">
        <f t="shared" ca="1" si="6"/>
        <v>1.0922972948289367E-2</v>
      </c>
      <c r="AD38" vm="315">
        <f ca="1"/>
        <v>45621</v>
      </c>
      <c r="AE38" vm="323">
        <f ca="1"/>
        <v>38208.03</v>
      </c>
      <c r="AF38" s="51">
        <f t="shared" ca="1" si="7"/>
        <v>-1.9804695713727671E-3</v>
      </c>
    </row>
    <row r="39" spans="2:32">
      <c r="B39" s="89" vm="324">
        <f ca="1"/>
        <v>45628</v>
      </c>
      <c r="C39" s="89" vm="325">
        <f ca="1"/>
        <v>241.6</v>
      </c>
      <c r="D39" s="90">
        <f t="shared" ca="1" si="0"/>
        <v>8.2922456297624292E-2</v>
      </c>
      <c r="F39" s="89" vm="324">
        <f ca="1"/>
        <v>45628</v>
      </c>
      <c r="G39" s="89" vm="326">
        <f ca="1"/>
        <v>76.489999999999995</v>
      </c>
      <c r="H39" s="90">
        <f t="shared" ca="1" si="1"/>
        <v>1.9187208527648103E-2</v>
      </c>
      <c r="J39" s="89" vm="324">
        <f ca="1"/>
        <v>45628</v>
      </c>
      <c r="K39" s="89" vm="327">
        <f ca="1"/>
        <v>46.53</v>
      </c>
      <c r="L39" s="90">
        <f t="shared" ca="1" si="2"/>
        <v>5.033860045146743E-2</v>
      </c>
      <c r="N39" s="89" vm="324">
        <f ca="1"/>
        <v>45628</v>
      </c>
      <c r="O39" s="89" vm="328">
        <f ca="1"/>
        <v>10.119999999999999</v>
      </c>
      <c r="P39" s="92">
        <f t="shared" ca="1" si="3"/>
        <v>4.2224510813594129E-2</v>
      </c>
      <c r="R39" s="89" vm="324">
        <f ca="1"/>
        <v>45628</v>
      </c>
      <c r="S39" s="89" vm="329">
        <f ca="1"/>
        <v>20.7</v>
      </c>
      <c r="T39" s="90">
        <f t="shared" ca="1" si="4"/>
        <v>1.6699410609037235E-2</v>
      </c>
      <c r="V39" vm="324">
        <f ca="1"/>
        <v>45628</v>
      </c>
      <c r="W39" vm="330">
        <f ca="1"/>
        <v>51.6</v>
      </c>
      <c r="X39" s="51">
        <f t="shared" ca="1" si="5"/>
        <v>2.0569620253164445E-2</v>
      </c>
      <c r="Z39" vm="324">
        <f ca="1"/>
        <v>45628</v>
      </c>
      <c r="AA39" vm="331">
        <f ca="1"/>
        <v>558.82000000000005</v>
      </c>
      <c r="AB39" s="51">
        <f t="shared" ca="1" si="6"/>
        <v>9.7027735116090863E-3</v>
      </c>
      <c r="AD39" vm="324">
        <f ca="1"/>
        <v>45628</v>
      </c>
      <c r="AE39" vm="332">
        <f ca="1"/>
        <v>39091.17</v>
      </c>
      <c r="AF39" s="51">
        <f t="shared" ca="1" si="7"/>
        <v>2.3113989389141443E-2</v>
      </c>
    </row>
    <row r="40" spans="2:32">
      <c r="B40" s="89" vm="333">
        <f ca="1"/>
        <v>45635</v>
      </c>
      <c r="C40" s="89" vm="334">
        <f ca="1"/>
        <v>240</v>
      </c>
      <c r="D40" s="90">
        <f t="shared" ca="1" si="0"/>
        <v>-6.6225165562913135E-3</v>
      </c>
      <c r="F40" s="89" vm="333">
        <f ca="1"/>
        <v>45635</v>
      </c>
      <c r="G40" s="89" vm="335">
        <f ca="1"/>
        <v>73.819999999999993</v>
      </c>
      <c r="H40" s="90">
        <f t="shared" ca="1" si="1"/>
        <v>-3.4906523728592043E-2</v>
      </c>
      <c r="J40" s="89" vm="333">
        <f ca="1"/>
        <v>45635</v>
      </c>
      <c r="K40" s="89" vm="336">
        <f ca="1"/>
        <v>45.75</v>
      </c>
      <c r="L40" s="90">
        <f t="shared" ca="1" si="2"/>
        <v>-1.6763378465506129E-2</v>
      </c>
      <c r="N40" s="89" vm="333">
        <f ca="1"/>
        <v>45635</v>
      </c>
      <c r="O40" s="89" vm="337">
        <f ca="1"/>
        <v>8.81</v>
      </c>
      <c r="P40" s="92">
        <f t="shared" ca="1" si="3"/>
        <v>-0.12944664031620545</v>
      </c>
      <c r="R40" s="89" vm="333">
        <f ca="1"/>
        <v>45635</v>
      </c>
      <c r="S40" s="89" vm="338">
        <f ca="1"/>
        <v>19.91</v>
      </c>
      <c r="T40" s="90">
        <f t="shared" ca="1" si="4"/>
        <v>-3.8164251207729483E-2</v>
      </c>
      <c r="V40" vm="333">
        <f ca="1"/>
        <v>45635</v>
      </c>
      <c r="W40" vm="110">
        <f ca="1"/>
        <v>51.17</v>
      </c>
      <c r="X40" s="51">
        <f t="shared" ca="1" si="5"/>
        <v>-8.3333333333333037E-3</v>
      </c>
      <c r="Z40" vm="333">
        <f ca="1"/>
        <v>45635</v>
      </c>
      <c r="AA40" vm="339">
        <f ca="1"/>
        <v>555.61</v>
      </c>
      <c r="AB40" s="51">
        <f t="shared" ca="1" si="6"/>
        <v>-5.7442468057693485E-3</v>
      </c>
      <c r="AD40" vm="333">
        <f ca="1"/>
        <v>45635</v>
      </c>
      <c r="AE40" vm="340">
        <f ca="1"/>
        <v>39470.44</v>
      </c>
      <c r="AF40" s="51">
        <f t="shared" ca="1" si="7"/>
        <v>9.7021910574690562E-3</v>
      </c>
    </row>
    <row r="41" spans="2:32">
      <c r="B41" s="89" vm="341">
        <f ca="1"/>
        <v>45642</v>
      </c>
      <c r="C41" s="89" vm="342">
        <f ca="1"/>
        <v>236.4</v>
      </c>
      <c r="D41" s="90">
        <f t="shared" ca="1" si="0"/>
        <v>-1.5000000000000013E-2</v>
      </c>
      <c r="F41" s="89" vm="341">
        <f ca="1"/>
        <v>45642</v>
      </c>
      <c r="G41" s="89" vm="343">
        <f ca="1"/>
        <v>73.47</v>
      </c>
      <c r="H41" s="90">
        <f t="shared" ca="1" si="1"/>
        <v>-4.741262530479462E-3</v>
      </c>
      <c r="J41" s="89" vm="341">
        <f ca="1"/>
        <v>45642</v>
      </c>
      <c r="K41" s="89" vm="344">
        <f ca="1"/>
        <v>45.53</v>
      </c>
      <c r="L41" s="90">
        <f t="shared" ca="1" si="2"/>
        <v>-4.8087431693988325E-3</v>
      </c>
      <c r="N41" s="89" vm="341">
        <f ca="1"/>
        <v>45642</v>
      </c>
      <c r="O41" s="89" vm="345">
        <f ca="1"/>
        <v>8.6199999999999992</v>
      </c>
      <c r="P41" s="92">
        <f t="shared" ca="1" si="3"/>
        <v>-2.1566401816118241E-2</v>
      </c>
      <c r="R41" s="89" vm="341">
        <f ca="1"/>
        <v>45642</v>
      </c>
      <c r="S41" s="89" vm="346">
        <f ca="1"/>
        <v>19.79</v>
      </c>
      <c r="T41" s="90">
        <f t="shared" ca="1" si="4"/>
        <v>-6.0271220492215116E-3</v>
      </c>
      <c r="V41" vm="341">
        <f ca="1"/>
        <v>45642</v>
      </c>
      <c r="W41" vm="347">
        <f ca="1"/>
        <v>49.72</v>
      </c>
      <c r="X41" s="51">
        <f t="shared" ca="1" si="5"/>
        <v>-2.8336916161813663E-2</v>
      </c>
      <c r="Z41" vm="341">
        <f ca="1"/>
        <v>45642</v>
      </c>
      <c r="AA41" vm="348">
        <f ca="1"/>
        <v>545.04</v>
      </c>
      <c r="AB41" s="51">
        <f t="shared" ca="1" si="6"/>
        <v>-1.9024135634707839E-2</v>
      </c>
      <c r="AD41" vm="341">
        <f ca="1"/>
        <v>45642</v>
      </c>
      <c r="AE41" vm="349">
        <f ca="1"/>
        <v>38701.9</v>
      </c>
      <c r="AF41" s="51">
        <f t="shared" ca="1" si="7"/>
        <v>-1.9471280279621972E-2</v>
      </c>
    </row>
    <row r="42" spans="2:32">
      <c r="B42" s="89" vm="350">
        <f ca="1"/>
        <v>45649</v>
      </c>
      <c r="C42" s="89" vm="351">
        <f ca="1"/>
        <v>236</v>
      </c>
      <c r="D42" s="90">
        <f t="shared" ca="1" si="0"/>
        <v>-1.6920473773266442E-3</v>
      </c>
      <c r="F42" s="89" vm="350">
        <f ca="1"/>
        <v>45649</v>
      </c>
      <c r="G42" s="89" vm="352">
        <f ca="1"/>
        <v>73.209999999999994</v>
      </c>
      <c r="H42" s="90">
        <f t="shared" ca="1" si="1"/>
        <v>-3.5388593983939343E-3</v>
      </c>
      <c r="J42" s="89" vm="350">
        <f ca="1"/>
        <v>45649</v>
      </c>
      <c r="K42" s="89" vm="353">
        <f ca="1"/>
        <v>45.05</v>
      </c>
      <c r="L42" s="90">
        <f t="shared" ca="1" si="2"/>
        <v>-1.0542499450911569E-2</v>
      </c>
      <c r="N42" s="89" vm="350">
        <f ca="1"/>
        <v>45649</v>
      </c>
      <c r="O42" s="89" vm="354">
        <f ca="1"/>
        <v>8.3800000000000008</v>
      </c>
      <c r="P42" s="92">
        <f t="shared" ca="1" si="3"/>
        <v>-2.7842227378190088E-2</v>
      </c>
      <c r="R42" s="89" vm="350">
        <f ca="1"/>
        <v>45649</v>
      </c>
      <c r="S42" s="89" vm="355">
        <f ca="1"/>
        <v>19.97</v>
      </c>
      <c r="T42" s="90">
        <f t="shared" ca="1" si="4"/>
        <v>9.0955027791814747E-3</v>
      </c>
      <c r="V42" vm="350">
        <f ca="1"/>
        <v>45649</v>
      </c>
      <c r="W42" vm="8">
        <f ca="1"/>
        <v>50.17</v>
      </c>
      <c r="X42" s="51">
        <f t="shared" ca="1" si="5"/>
        <v>9.0506838294448499E-3</v>
      </c>
      <c r="Z42" vm="350">
        <f ca="1"/>
        <v>45649</v>
      </c>
      <c r="AA42" vm="356">
        <f ca="1"/>
        <v>547.08000000000004</v>
      </c>
      <c r="AB42" s="51">
        <f t="shared" ca="1" si="6"/>
        <v>3.7428445618672423E-3</v>
      </c>
      <c r="AD42" vm="350">
        <f ca="1"/>
        <v>45649</v>
      </c>
      <c r="AE42" vm="357">
        <f ca="1"/>
        <v>40281.160000000003</v>
      </c>
      <c r="AF42" s="51">
        <f t="shared" ca="1" si="7"/>
        <v>4.0805748554980648E-2</v>
      </c>
    </row>
    <row r="43" spans="2:32">
      <c r="B43" s="89" vm="358">
        <f ca="1"/>
        <v>45656</v>
      </c>
      <c r="C43" s="89" vm="253">
        <f ca="1"/>
        <v>233.6</v>
      </c>
      <c r="D43" s="90">
        <f t="shared" ca="1" si="0"/>
        <v>-1.0169491525423791E-2</v>
      </c>
      <c r="F43" s="89" vm="358">
        <f ca="1"/>
        <v>45656</v>
      </c>
      <c r="G43" s="89" vm="290">
        <f ca="1"/>
        <v>71.14</v>
      </c>
      <c r="H43" s="90">
        <f t="shared" ca="1" si="1"/>
        <v>-2.8274825843463969E-2</v>
      </c>
      <c r="J43" s="89" vm="358">
        <f ca="1"/>
        <v>45656</v>
      </c>
      <c r="K43" s="89" vm="359">
        <f ca="1"/>
        <v>43.5</v>
      </c>
      <c r="L43" s="90">
        <f t="shared" ca="1" si="2"/>
        <v>-3.4406215316315159E-2</v>
      </c>
      <c r="N43" s="89" vm="358">
        <f ca="1"/>
        <v>45656</v>
      </c>
      <c r="O43" s="89" vm="360">
        <f ca="1"/>
        <v>8.36</v>
      </c>
      <c r="P43" s="92">
        <f t="shared" ca="1" si="3"/>
        <v>-2.3866348448688957E-3</v>
      </c>
      <c r="R43" s="89" vm="358">
        <f ca="1"/>
        <v>45656</v>
      </c>
      <c r="S43" s="89" vm="361">
        <f ca="1"/>
        <v>19.55</v>
      </c>
      <c r="T43" s="90">
        <f t="shared" ca="1" si="4"/>
        <v>-2.1031547320981336E-2</v>
      </c>
      <c r="V43" vm="358">
        <f ca="1"/>
        <v>45656</v>
      </c>
      <c r="W43" vm="362">
        <f ca="1"/>
        <v>50.27</v>
      </c>
      <c r="X43" s="51">
        <f t="shared" ca="1" si="5"/>
        <v>1.9932230416583874E-3</v>
      </c>
      <c r="Z43" vm="358">
        <f ca="1"/>
        <v>45656</v>
      </c>
      <c r="AA43" vm="363">
        <f ca="1"/>
        <v>544.4</v>
      </c>
      <c r="AB43" s="51">
        <f t="shared" ca="1" si="6"/>
        <v>-4.8987351027273141E-3</v>
      </c>
      <c r="AD43" vm="358">
        <f ca="1"/>
        <v>45656</v>
      </c>
      <c r="AE43" vm="364">
        <f ca="1"/>
        <v>39894.54</v>
      </c>
      <c r="AF43" s="51">
        <f t="shared" ca="1" si="7"/>
        <v>-9.5980354091094178E-3</v>
      </c>
    </row>
    <row r="44" spans="2:32">
      <c r="B44" s="89" vm="365">
        <f ca="1"/>
        <v>45663</v>
      </c>
      <c r="C44" s="89" vm="366">
        <f ca="1"/>
        <v>243.8</v>
      </c>
      <c r="D44" s="90">
        <f t="shared" ca="1" si="0"/>
        <v>4.3664383561643927E-2</v>
      </c>
      <c r="F44" s="89" vm="365">
        <f ca="1"/>
        <v>45663</v>
      </c>
      <c r="G44" s="89" vm="367">
        <f ca="1"/>
        <v>70.12</v>
      </c>
      <c r="H44" s="90">
        <f t="shared" ca="1" si="1"/>
        <v>-1.4337925217880132E-2</v>
      </c>
      <c r="J44" s="89" vm="365">
        <f ca="1"/>
        <v>45663</v>
      </c>
      <c r="K44" s="89" vm="368">
        <f ca="1"/>
        <v>42.71</v>
      </c>
      <c r="L44" s="90">
        <f t="shared" ca="1" si="2"/>
        <v>-1.8160919540229914E-2</v>
      </c>
      <c r="N44" s="89" vm="365">
        <f ca="1"/>
        <v>45663</v>
      </c>
      <c r="O44" s="89" vm="369">
        <f ca="1"/>
        <v>8.2100000000000009</v>
      </c>
      <c r="P44" s="92">
        <f t="shared" ca="1" si="3"/>
        <v>-1.794258373205726E-2</v>
      </c>
      <c r="R44" s="89" vm="365">
        <f ca="1"/>
        <v>45663</v>
      </c>
      <c r="S44" s="89" vm="370">
        <f ca="1"/>
        <v>20.420000000000002</v>
      </c>
      <c r="T44" s="90">
        <f t="shared" ca="1" si="4"/>
        <v>4.4501278772378638E-2</v>
      </c>
      <c r="V44" vm="365">
        <f ca="1"/>
        <v>45663</v>
      </c>
      <c r="W44" vm="285">
        <f ca="1"/>
        <v>50.57</v>
      </c>
      <c r="X44" s="51">
        <f t="shared" ca="1" si="5"/>
        <v>5.9677740202903617E-3</v>
      </c>
      <c r="Z44" vm="365">
        <f ca="1"/>
        <v>45663</v>
      </c>
      <c r="AA44" vm="371">
        <f ca="1"/>
        <v>533.89</v>
      </c>
      <c r="AB44" s="51">
        <f t="shared" ca="1" si="6"/>
        <v>-1.9305657604702375E-2</v>
      </c>
      <c r="AD44" vm="365">
        <f ca="1"/>
        <v>45663</v>
      </c>
      <c r="AE44" vm="372">
        <f ca="1"/>
        <v>39190.400000000001</v>
      </c>
      <c r="AF44" s="51">
        <f t="shared" ca="1" si="7"/>
        <v>-1.765003431547274E-2</v>
      </c>
    </row>
    <row r="45" spans="2:32">
      <c r="B45" s="89" vm="373">
        <f ca="1"/>
        <v>45670</v>
      </c>
      <c r="C45" s="89" vm="374">
        <f ca="1"/>
        <v>241.7</v>
      </c>
      <c r="D45" s="90">
        <f t="shared" ca="1" si="0"/>
        <v>-8.6136177194422459E-3</v>
      </c>
      <c r="F45" s="89" vm="373">
        <f ca="1"/>
        <v>45670</v>
      </c>
      <c r="G45" s="89" vm="375">
        <f ca="1"/>
        <v>69.260000000000005</v>
      </c>
      <c r="H45" s="90">
        <f t="shared" ca="1" si="1"/>
        <v>-1.226468910439249E-2</v>
      </c>
      <c r="J45" s="89" vm="373">
        <f ca="1"/>
        <v>45670</v>
      </c>
      <c r="K45" s="89" vm="376">
        <f ca="1"/>
        <v>40.479999999999997</v>
      </c>
      <c r="L45" s="90">
        <f t="shared" ca="1" si="2"/>
        <v>-5.2212596581596937E-2</v>
      </c>
      <c r="N45" s="89" vm="373">
        <f ca="1"/>
        <v>45670</v>
      </c>
      <c r="O45" s="89" vm="377">
        <f ca="1"/>
        <v>8.1999999999999993</v>
      </c>
      <c r="P45" s="92">
        <f t="shared" ca="1" si="3"/>
        <v>-1.2180267965896663E-3</v>
      </c>
      <c r="R45" s="89" vm="373">
        <f ca="1"/>
        <v>45670</v>
      </c>
      <c r="S45" s="89" vm="378">
        <f ca="1"/>
        <v>21.38</v>
      </c>
      <c r="T45" s="90">
        <f t="shared" ca="1" si="4"/>
        <v>4.7012732615083097E-2</v>
      </c>
      <c r="V45" vm="373">
        <f ca="1"/>
        <v>45670</v>
      </c>
      <c r="W45" vm="379">
        <f ca="1"/>
        <v>51.76</v>
      </c>
      <c r="X45" s="51">
        <f t="shared" ca="1" si="5"/>
        <v>2.3531738184694451E-2</v>
      </c>
      <c r="Z45" vm="373">
        <f ca="1"/>
        <v>45670</v>
      </c>
      <c r="AA45" vm="380">
        <f ca="1"/>
        <v>549.46</v>
      </c>
      <c r="AB45" s="51">
        <f t="shared" ca="1" si="6"/>
        <v>2.9163310794358521E-2</v>
      </c>
      <c r="AD45" vm="381">
        <f ca="1"/>
        <v>45671</v>
      </c>
      <c r="AE45" vm="382">
        <f ca="1"/>
        <v>38451.46</v>
      </c>
      <c r="AF45" s="51">
        <f t="shared" ca="1" si="7"/>
        <v>-1.8855127786396753E-2</v>
      </c>
    </row>
    <row r="46" spans="2:32">
      <c r="B46" s="89" vm="383">
        <f ca="1"/>
        <v>45677</v>
      </c>
      <c r="C46" s="89" vm="384">
        <f ca="1"/>
        <v>254.5</v>
      </c>
      <c r="D46" s="90">
        <f t="shared" ca="1" si="0"/>
        <v>5.2958212660322745E-2</v>
      </c>
      <c r="F46" s="89" vm="383">
        <f ca="1"/>
        <v>45677</v>
      </c>
      <c r="G46" s="89" vm="385">
        <f ca="1"/>
        <v>70.290000000000006</v>
      </c>
      <c r="H46" s="90">
        <f t="shared" ca="1" si="1"/>
        <v>1.4871498700548713E-2</v>
      </c>
      <c r="J46" s="89" vm="383">
        <f ca="1"/>
        <v>45677</v>
      </c>
      <c r="K46" s="89" vm="386">
        <f ca="1"/>
        <v>32.049999999999997</v>
      </c>
      <c r="L46" s="90">
        <f t="shared" ca="1" si="2"/>
        <v>-0.20825098814229248</v>
      </c>
      <c r="N46" s="89" vm="387">
        <f ca="1"/>
        <v>45678</v>
      </c>
      <c r="O46" s="89" vm="388">
        <f ca="1"/>
        <v>8.42</v>
      </c>
      <c r="P46" s="92">
        <f t="shared" ca="1" si="3"/>
        <v>2.6829268292682951E-2</v>
      </c>
      <c r="R46" s="89" vm="387">
        <f ca="1"/>
        <v>45678</v>
      </c>
      <c r="S46" s="89" vm="389">
        <f ca="1"/>
        <v>22.86</v>
      </c>
      <c r="T46" s="90">
        <f t="shared" ca="1" si="4"/>
        <v>6.9223573433115027E-2</v>
      </c>
      <c r="V46" vm="383">
        <f ca="1"/>
        <v>45677</v>
      </c>
      <c r="W46" vm="390">
        <f ca="1"/>
        <v>52.42</v>
      </c>
      <c r="X46" s="51">
        <f t="shared" ca="1" si="5"/>
        <v>1.2751159196290551E-2</v>
      </c>
      <c r="Z46" vm="387">
        <f ca="1"/>
        <v>45678</v>
      </c>
      <c r="AA46" vm="391">
        <f ca="1"/>
        <v>559.01</v>
      </c>
      <c r="AB46" s="51">
        <f t="shared" ca="1" si="6"/>
        <v>1.7380701051941783E-2</v>
      </c>
      <c r="AD46" vm="383">
        <f ca="1"/>
        <v>45677</v>
      </c>
      <c r="AE46" vm="392">
        <f ca="1"/>
        <v>39931.980000000003</v>
      </c>
      <c r="AF46" s="51">
        <f t="shared" ca="1" si="7"/>
        <v>3.850360948582976E-2</v>
      </c>
    </row>
    <row r="47" spans="2:32">
      <c r="B47" s="89" vm="393">
        <f ca="1"/>
        <v>45684</v>
      </c>
      <c r="C47" s="89" vm="394">
        <f ca="1"/>
        <v>254.9</v>
      </c>
      <c r="D47" s="90">
        <f t="shared" ca="1" si="0"/>
        <v>1.5717092337916849E-3</v>
      </c>
      <c r="F47" s="89" vm="393">
        <f ca="1"/>
        <v>45684</v>
      </c>
      <c r="G47" s="89" vm="395">
        <f ca="1"/>
        <v>75</v>
      </c>
      <c r="H47" s="90">
        <f t="shared" ca="1" si="1"/>
        <v>6.7008109261630366E-2</v>
      </c>
      <c r="J47" s="89" vm="393">
        <f ca="1"/>
        <v>45684</v>
      </c>
      <c r="K47" s="89" vm="396">
        <f ca="1"/>
        <v>30.41</v>
      </c>
      <c r="L47" s="90">
        <f t="shared" ca="1" si="2"/>
        <v>-5.1170046801871982E-2</v>
      </c>
      <c r="N47" s="89" vm="393">
        <f ca="1"/>
        <v>45684</v>
      </c>
      <c r="O47" s="89" vm="397">
        <f ca="1"/>
        <v>8.35</v>
      </c>
      <c r="P47" s="92">
        <f t="shared" ca="1" si="3"/>
        <v>-8.3135391923990776E-3</v>
      </c>
      <c r="R47" s="89" vm="393">
        <f ca="1"/>
        <v>45684</v>
      </c>
      <c r="S47" s="89" vm="398">
        <f ca="1"/>
        <v>22.2</v>
      </c>
      <c r="T47" s="90">
        <f t="shared" ca="1" si="4"/>
        <v>-2.8871391076115471E-2</v>
      </c>
      <c r="V47" vm="393">
        <f ca="1"/>
        <v>45684</v>
      </c>
      <c r="W47" vm="399">
        <f ca="1"/>
        <v>53.41</v>
      </c>
      <c r="X47" s="51">
        <f t="shared" ca="1" si="5"/>
        <v>1.8885921404044215E-2</v>
      </c>
      <c r="Z47" vm="393">
        <f ca="1"/>
        <v>45684</v>
      </c>
      <c r="AA47" vm="400">
        <f ca="1"/>
        <v>553.33000000000004</v>
      </c>
      <c r="AB47" s="51">
        <f t="shared" ca="1" si="6"/>
        <v>-1.016082002110863E-2</v>
      </c>
      <c r="AD47" vm="393">
        <f ca="1"/>
        <v>45684</v>
      </c>
      <c r="AE47" vm="401">
        <f ca="1"/>
        <v>39572.49</v>
      </c>
      <c r="AF47" s="51">
        <f t="shared" ca="1" si="7"/>
        <v>-9.0025588513268362E-3</v>
      </c>
    </row>
    <row r="48" spans="2:32">
      <c r="B48" s="89" vm="402">
        <f ca="1"/>
        <v>45691</v>
      </c>
      <c r="C48" s="89" vm="403">
        <f ca="1"/>
        <v>253.6</v>
      </c>
      <c r="D48" s="90">
        <f t="shared" ca="1" si="0"/>
        <v>-5.1000392310710518E-3</v>
      </c>
      <c r="F48" s="89" vm="402">
        <f ca="1"/>
        <v>45691</v>
      </c>
      <c r="G48" s="89" vm="404">
        <f ca="1"/>
        <v>67.91</v>
      </c>
      <c r="H48" s="90">
        <f t="shared" ca="1" si="1"/>
        <v>-9.4533333333333358E-2</v>
      </c>
      <c r="J48" s="89" vm="402">
        <f ca="1"/>
        <v>45691</v>
      </c>
      <c r="K48" s="89" vm="405">
        <f ca="1"/>
        <v>28.32</v>
      </c>
      <c r="L48" s="90">
        <f t="shared" ca="1" si="2"/>
        <v>-6.8727392305162782E-2</v>
      </c>
      <c r="N48" s="89" vm="402">
        <f ca="1"/>
        <v>45691</v>
      </c>
      <c r="O48" s="89" vm="406">
        <f ca="1"/>
        <v>7.3</v>
      </c>
      <c r="P48" s="92">
        <f t="shared" ca="1" si="3"/>
        <v>-0.12574850299401197</v>
      </c>
      <c r="R48" s="89" vm="402">
        <f ca="1"/>
        <v>45691</v>
      </c>
      <c r="S48" s="89" vm="407">
        <f ca="1"/>
        <v>21.391999999999999</v>
      </c>
      <c r="T48" s="90">
        <f t="shared" ca="1" si="4"/>
        <v>-3.6396396396396358E-2</v>
      </c>
      <c r="V48" vm="402">
        <f ca="1"/>
        <v>45691</v>
      </c>
      <c r="W48" vm="408">
        <f ca="1"/>
        <v>53.73</v>
      </c>
      <c r="X48" s="51">
        <f t="shared" ca="1" si="5"/>
        <v>5.9913873806403117E-3</v>
      </c>
      <c r="Z48" vm="402">
        <f ca="1"/>
        <v>45691</v>
      </c>
      <c r="AA48" vm="409">
        <f ca="1"/>
        <v>552.20000000000005</v>
      </c>
      <c r="AB48" s="51">
        <f t="shared" ca="1" si="6"/>
        <v>-2.0421809769938237E-3</v>
      </c>
      <c r="AD48" vm="402">
        <f ca="1"/>
        <v>45691</v>
      </c>
      <c r="AE48" vm="410">
        <f ca="1"/>
        <v>38787.019999999997</v>
      </c>
      <c r="AF48" s="51">
        <f t="shared" ca="1" si="7"/>
        <v>-1.9848889973817729E-2</v>
      </c>
    </row>
    <row r="49" spans="2:32">
      <c r="B49" s="89" vm="411">
        <f ca="1"/>
        <v>45698</v>
      </c>
      <c r="C49" s="89" vm="412">
        <f ca="1"/>
        <v>258.8</v>
      </c>
      <c r="D49" s="90">
        <f t="shared" ca="1" si="0"/>
        <v>2.0504731861198833E-2</v>
      </c>
      <c r="F49" s="89" vm="411">
        <f ca="1"/>
        <v>45698</v>
      </c>
      <c r="G49" s="89" vm="413">
        <f ca="1"/>
        <v>69.58</v>
      </c>
      <c r="H49" s="90">
        <f t="shared" ca="1" si="1"/>
        <v>2.4591370932116163E-2</v>
      </c>
      <c r="J49" s="89" vm="411">
        <f ca="1"/>
        <v>45698</v>
      </c>
      <c r="K49" s="89" vm="414">
        <f ca="1"/>
        <v>29.86</v>
      </c>
      <c r="L49" s="90">
        <f t="shared" ca="1" si="2"/>
        <v>5.4378531073446368E-2</v>
      </c>
      <c r="N49" s="89" vm="411">
        <f ca="1"/>
        <v>45698</v>
      </c>
      <c r="O49" s="89" vm="415">
        <f ca="1"/>
        <v>7.1</v>
      </c>
      <c r="P49" s="92">
        <f t="shared" ca="1" si="3"/>
        <v>-2.7397260273972601E-2</v>
      </c>
      <c r="R49" s="89" vm="411">
        <f ca="1"/>
        <v>45698</v>
      </c>
      <c r="S49" s="89" vm="416">
        <f ca="1"/>
        <v>23.5</v>
      </c>
      <c r="T49" s="90">
        <f t="shared" ca="1" si="4"/>
        <v>9.8541510845175706E-2</v>
      </c>
      <c r="V49" vm="411">
        <f ca="1"/>
        <v>45698</v>
      </c>
      <c r="W49" vm="417">
        <f ca="1"/>
        <v>54.73</v>
      </c>
      <c r="X49" s="51">
        <f t="shared" ca="1" si="5"/>
        <v>1.8611576400521024E-2</v>
      </c>
      <c r="Z49" vm="411">
        <f ca="1"/>
        <v>45698</v>
      </c>
      <c r="AA49" vm="418">
        <f ca="1"/>
        <v>560.69000000000005</v>
      </c>
      <c r="AB49" s="51">
        <f t="shared" ca="1" si="6"/>
        <v>1.5374864179645176E-2</v>
      </c>
      <c r="AD49" vm="411">
        <f ca="1"/>
        <v>45698</v>
      </c>
      <c r="AE49" vm="419">
        <f ca="1"/>
        <v>39149.43</v>
      </c>
      <c r="AF49" s="51">
        <f t="shared" ca="1" si="7"/>
        <v>9.3435896854154876E-3</v>
      </c>
    </row>
    <row r="50" spans="2:32">
      <c r="B50" s="89" vm="420">
        <f ca="1"/>
        <v>45705</v>
      </c>
      <c r="C50" s="89" vm="421">
        <f ca="1"/>
        <v>245.9</v>
      </c>
      <c r="D50" s="90">
        <f t="shared" ca="1" si="0"/>
        <v>-4.9845440494590387E-2</v>
      </c>
      <c r="F50" s="89" vm="420">
        <f ca="1"/>
        <v>45705</v>
      </c>
      <c r="G50" s="89" vm="422">
        <f ca="1"/>
        <v>73.680000000000007</v>
      </c>
      <c r="H50" s="90">
        <f t="shared" ca="1" si="1"/>
        <v>5.8924978442081111E-2</v>
      </c>
      <c r="J50" s="89" vm="420">
        <f ca="1"/>
        <v>45705</v>
      </c>
      <c r="K50" s="89" vm="423">
        <f ca="1"/>
        <v>28.51</v>
      </c>
      <c r="L50" s="90">
        <f t="shared" ca="1" si="2"/>
        <v>-4.5210984594775572E-2</v>
      </c>
      <c r="N50" s="89" vm="424">
        <f ca="1"/>
        <v>45706</v>
      </c>
      <c r="O50" s="89" vm="425">
        <f ca="1"/>
        <v>7.09</v>
      </c>
      <c r="P50" s="92">
        <f t="shared" ca="1" si="3"/>
        <v>-1.4084507042253502E-3</v>
      </c>
      <c r="R50" s="89" vm="424">
        <f ca="1"/>
        <v>45706</v>
      </c>
      <c r="S50" s="89" vm="426">
        <f ca="1"/>
        <v>23.2</v>
      </c>
      <c r="T50" s="90">
        <f t="shared" ca="1" si="4"/>
        <v>-1.2765957446808529E-2</v>
      </c>
      <c r="V50" vm="420">
        <f ca="1"/>
        <v>45705</v>
      </c>
      <c r="W50" vm="427">
        <f ca="1"/>
        <v>54.91</v>
      </c>
      <c r="X50" s="51">
        <f t="shared" ca="1" si="5"/>
        <v>3.2888726475424068E-3</v>
      </c>
      <c r="Z50" vm="424">
        <f ca="1"/>
        <v>45706</v>
      </c>
      <c r="AA50" vm="428">
        <f ca="1"/>
        <v>551.75</v>
      </c>
      <c r="AB50" s="51">
        <f t="shared" ca="1" si="6"/>
        <v>-1.5944639640443126E-2</v>
      </c>
      <c r="AD50" vm="420">
        <f ca="1"/>
        <v>45705</v>
      </c>
      <c r="AE50" vm="429">
        <f ca="1"/>
        <v>38776.94</v>
      </c>
      <c r="AF50" s="51">
        <f t="shared" ca="1" si="7"/>
        <v>-9.5145701993617493E-3</v>
      </c>
    </row>
    <row r="51" spans="2:32">
      <c r="B51" s="89" vm="430">
        <f ca="1"/>
        <v>45712</v>
      </c>
      <c r="C51" s="89" vm="431">
        <f ca="1"/>
        <v>246.2</v>
      </c>
      <c r="D51" s="90">
        <f t="shared" ca="1" si="0"/>
        <v>1.2200081333875179E-3</v>
      </c>
      <c r="F51" s="89" vm="430">
        <f ca="1"/>
        <v>45712</v>
      </c>
      <c r="G51" s="89" vm="432">
        <f ca="1"/>
        <v>75.959999999999994</v>
      </c>
      <c r="H51" s="90">
        <f t="shared" ca="1" si="1"/>
        <v>3.0944625407165915E-2</v>
      </c>
      <c r="J51" s="89" vm="430">
        <f ca="1"/>
        <v>45712</v>
      </c>
      <c r="K51" s="89" vm="433">
        <f ca="1"/>
        <v>28.83</v>
      </c>
      <c r="L51" s="90">
        <f t="shared" ca="1" si="2"/>
        <v>1.1224131883549537E-2</v>
      </c>
      <c r="N51" s="89" vm="430">
        <f ca="1"/>
        <v>45712</v>
      </c>
      <c r="O51" s="89" vm="434">
        <f ca="1"/>
        <v>6.81</v>
      </c>
      <c r="P51" s="92">
        <f t="shared" ca="1" si="3"/>
        <v>-3.9492242595204563E-2</v>
      </c>
      <c r="R51" s="89" vm="430">
        <f ca="1"/>
        <v>45712</v>
      </c>
      <c r="S51" s="89" vm="435">
        <f ca="1"/>
        <v>22.3</v>
      </c>
      <c r="T51" s="90">
        <f t="shared" ca="1" si="4"/>
        <v>-3.8793103448275801E-2</v>
      </c>
      <c r="V51" vm="430">
        <f ca="1"/>
        <v>45712</v>
      </c>
      <c r="W51" vm="436">
        <f ca="1"/>
        <v>55.27</v>
      </c>
      <c r="X51" s="51">
        <f t="shared" ca="1" si="5"/>
        <v>6.5561828446549786E-3</v>
      </c>
      <c r="Z51" vm="430">
        <f ca="1"/>
        <v>45712</v>
      </c>
      <c r="AA51" vm="437">
        <f ca="1"/>
        <v>546.33000000000004</v>
      </c>
      <c r="AB51" s="51">
        <f t="shared" ca="1" si="6"/>
        <v>-9.8232895333030257E-3</v>
      </c>
      <c r="AD51" vm="438">
        <f ca="1"/>
        <v>45713</v>
      </c>
      <c r="AE51" vm="439">
        <f ca="1"/>
        <v>37155.5</v>
      </c>
      <c r="AF51" s="51">
        <f t="shared" ca="1" si="7"/>
        <v>-4.1814542354296158E-2</v>
      </c>
    </row>
    <row r="52" spans="2:32">
      <c r="B52" s="89" vm="440">
        <f ca="1"/>
        <v>45719</v>
      </c>
      <c r="C52" s="89" vm="342">
        <f ca="1"/>
        <v>236.4</v>
      </c>
      <c r="D52" s="90">
        <f t="shared" ca="1" si="0"/>
        <v>-3.9805036555645712E-2</v>
      </c>
      <c r="F52" s="89" vm="440">
        <f ca="1"/>
        <v>45719</v>
      </c>
      <c r="G52" s="89" vm="441">
        <f ca="1"/>
        <v>71.2</v>
      </c>
      <c r="H52" s="90">
        <f t="shared" ca="1" si="1"/>
        <v>-6.266456029489198E-2</v>
      </c>
      <c r="J52" s="89" vm="440">
        <f ca="1"/>
        <v>45719</v>
      </c>
      <c r="K52" s="89" vm="442">
        <f ca="1"/>
        <v>29.21</v>
      </c>
      <c r="L52" s="90">
        <f t="shared" ca="1" si="2"/>
        <v>1.3180714533472138E-2</v>
      </c>
      <c r="N52" s="89" vm="440">
        <f ca="1"/>
        <v>45719</v>
      </c>
      <c r="O52" s="89" vm="443">
        <f ca="1"/>
        <v>7.08</v>
      </c>
      <c r="P52" s="92">
        <f t="shared" ca="1" si="3"/>
        <v>3.9647577092511099E-2</v>
      </c>
      <c r="R52" s="89" vm="440">
        <f ca="1"/>
        <v>45719</v>
      </c>
      <c r="S52" s="89" vm="444">
        <f ca="1"/>
        <v>21.87</v>
      </c>
      <c r="T52" s="90">
        <f t="shared" ca="1" si="4"/>
        <v>-1.9282511210762299E-2</v>
      </c>
      <c r="V52" vm="440">
        <f ca="1"/>
        <v>45719</v>
      </c>
      <c r="W52" vm="445">
        <f ca="1"/>
        <v>54.92</v>
      </c>
      <c r="X52" s="51">
        <f t="shared" ca="1" si="5"/>
        <v>-6.3325493034196434E-3</v>
      </c>
      <c r="Z52" vm="440">
        <f ca="1"/>
        <v>45719</v>
      </c>
      <c r="AA52" vm="446">
        <f ca="1"/>
        <v>529.51</v>
      </c>
      <c r="AB52" s="51">
        <f t="shared" ca="1" si="6"/>
        <v>-3.0787253125400538E-2</v>
      </c>
      <c r="AD52" vm="440">
        <f ca="1"/>
        <v>45719</v>
      </c>
      <c r="AE52" vm="447">
        <f ca="1"/>
        <v>36887.17</v>
      </c>
      <c r="AF52" s="51">
        <f t="shared" ca="1" si="7"/>
        <v>-7.2218110373969413E-3</v>
      </c>
    </row>
    <row r="53" spans="2:32">
      <c r="B53" s="89" vm="448">
        <f ca="1"/>
        <v>45726</v>
      </c>
      <c r="C53" s="89" vm="114">
        <f ca="1"/>
        <v>223</v>
      </c>
      <c r="D53" s="90">
        <f t="shared" ca="1" si="0"/>
        <v>-5.6683587140439973E-2</v>
      </c>
      <c r="F53" s="89" vm="448">
        <f ca="1"/>
        <v>45726</v>
      </c>
      <c r="G53" s="89" vm="449">
        <f ca="1"/>
        <v>66</v>
      </c>
      <c r="H53" s="90">
        <f t="shared" ca="1" si="1"/>
        <v>-7.3033707865168607E-2</v>
      </c>
      <c r="J53" s="89" vm="448">
        <f ca="1"/>
        <v>45726</v>
      </c>
      <c r="K53" s="89" vm="450">
        <f ca="1"/>
        <v>22.26</v>
      </c>
      <c r="L53" s="90">
        <f t="shared" ca="1" si="2"/>
        <v>-0.23793221499486472</v>
      </c>
      <c r="N53" s="89" vm="448">
        <f ca="1"/>
        <v>45726</v>
      </c>
      <c r="O53" s="89" vm="144">
        <f ca="1"/>
        <v>6.7</v>
      </c>
      <c r="P53" s="92">
        <f t="shared" ca="1" si="3"/>
        <v>-5.3672316384180796E-2</v>
      </c>
      <c r="R53" s="89" vm="448">
        <f ca="1"/>
        <v>45726</v>
      </c>
      <c r="S53" s="89" vm="451">
        <f ca="1"/>
        <v>21.82</v>
      </c>
      <c r="T53" s="90">
        <f t="shared" ca="1" si="4"/>
        <v>-2.2862368541380906E-3</v>
      </c>
      <c r="V53" vm="448">
        <f ca="1"/>
        <v>45726</v>
      </c>
      <c r="W53" vm="452">
        <f ca="1"/>
        <v>54.3</v>
      </c>
      <c r="X53" s="51">
        <f t="shared" ca="1" si="5"/>
        <v>-1.1289147851420323E-2</v>
      </c>
      <c r="Z53" vm="448">
        <f ca="1"/>
        <v>45726</v>
      </c>
      <c r="AA53" vm="453">
        <f ca="1"/>
        <v>517.46</v>
      </c>
      <c r="AB53" s="51">
        <f t="shared" ca="1" si="6"/>
        <v>-2.2756888444033119E-2</v>
      </c>
      <c r="AD53" vm="448">
        <f ca="1"/>
        <v>45726</v>
      </c>
      <c r="AE53" vm="454">
        <f ca="1"/>
        <v>37053.1</v>
      </c>
      <c r="AF53" s="51">
        <f t="shared" ca="1" si="7"/>
        <v>4.4983120147195077E-3</v>
      </c>
    </row>
    <row r="54" spans="2:32">
      <c r="B54" s="89" vm="455">
        <f ca="1"/>
        <v>45733</v>
      </c>
      <c r="C54" s="89" vm="456">
        <f ca="1"/>
        <v>224.1</v>
      </c>
      <c r="D54" s="90">
        <f t="shared" ca="1" si="0"/>
        <v>4.9327354260089162E-3</v>
      </c>
      <c r="F54" s="89" vm="455">
        <f ca="1"/>
        <v>45733</v>
      </c>
      <c r="G54" s="89" vm="457">
        <f ca="1"/>
        <v>62.9</v>
      </c>
      <c r="H54" s="90">
        <f t="shared" ca="1" si="1"/>
        <v>-4.6969696969696995E-2</v>
      </c>
      <c r="J54" s="89" vm="455">
        <f ca="1"/>
        <v>45733</v>
      </c>
      <c r="K54" s="89" vm="458">
        <f ca="1"/>
        <v>23.79</v>
      </c>
      <c r="L54" s="90">
        <f t="shared" ca="1" si="2"/>
        <v>6.8733153638813826E-2</v>
      </c>
      <c r="N54" s="89" vm="455">
        <f ca="1"/>
        <v>45733</v>
      </c>
      <c r="O54" s="89" vm="459">
        <f ca="1"/>
        <v>6.42</v>
      </c>
      <c r="P54" s="92">
        <f t="shared" ca="1" si="3"/>
        <v>-4.179104477611939E-2</v>
      </c>
      <c r="R54" s="89" vm="455">
        <f ca="1"/>
        <v>45733</v>
      </c>
      <c r="S54" s="89" vm="460">
        <f ca="1"/>
        <v>21.29</v>
      </c>
      <c r="T54" s="90">
        <f t="shared" ca="1" si="4"/>
        <v>-2.4289642529789268E-2</v>
      </c>
      <c r="V54" vm="455">
        <f ca="1"/>
        <v>45733</v>
      </c>
      <c r="W54" vm="461">
        <f ca="1"/>
        <v>54.39</v>
      </c>
      <c r="X54" s="51">
        <f t="shared" ca="1" si="5"/>
        <v>1.6574585635360517E-3</v>
      </c>
      <c r="Z54" vm="455">
        <f ca="1"/>
        <v>45733</v>
      </c>
      <c r="AA54" vm="462">
        <f ca="1"/>
        <v>520.26</v>
      </c>
      <c r="AB54" s="51">
        <f t="shared" ca="1" si="6"/>
        <v>5.4110462644454405E-3</v>
      </c>
      <c r="AD54" vm="455">
        <f ca="1"/>
        <v>45733</v>
      </c>
      <c r="AE54" vm="463">
        <f ca="1"/>
        <v>37677.06</v>
      </c>
      <c r="AF54" s="51">
        <f t="shared" ca="1" si="7"/>
        <v>1.6839616658255396E-2</v>
      </c>
    </row>
    <row r="55" spans="2:32">
      <c r="B55" s="89" vm="464">
        <f ca="1"/>
        <v>45740</v>
      </c>
      <c r="C55" s="89" vm="465">
        <f ca="1"/>
        <v>221.9</v>
      </c>
      <c r="D55" s="90">
        <f t="shared" ca="1" si="0"/>
        <v>-9.8170459616242489E-3</v>
      </c>
      <c r="F55" s="89" vm="464">
        <f ca="1"/>
        <v>45740</v>
      </c>
      <c r="G55" s="89" vm="466">
        <f ca="1"/>
        <v>58.8</v>
      </c>
      <c r="H55" s="90">
        <f t="shared" ca="1" si="1"/>
        <v>-6.5182829888712268E-2</v>
      </c>
      <c r="J55" s="89" vm="464">
        <f ca="1"/>
        <v>45740</v>
      </c>
      <c r="K55" s="89" vm="467">
        <f ca="1"/>
        <v>22.63</v>
      </c>
      <c r="L55" s="90">
        <f t="shared" ca="1" si="2"/>
        <v>-4.8759983186212663E-2</v>
      </c>
      <c r="N55" s="89" vm="464">
        <f ca="1"/>
        <v>45740</v>
      </c>
      <c r="O55" s="89" vm="468">
        <f ca="1"/>
        <v>6.3</v>
      </c>
      <c r="P55" s="92">
        <f t="shared" ca="1" si="3"/>
        <v>-1.8691588785046731E-2</v>
      </c>
      <c r="R55" s="89" vm="464">
        <f ca="1"/>
        <v>45740</v>
      </c>
      <c r="S55" s="89" vm="469">
        <f ca="1"/>
        <v>20.762</v>
      </c>
      <c r="T55" s="90">
        <f t="shared" ca="1" si="4"/>
        <v>-2.48003757632691E-2</v>
      </c>
      <c r="V55" vm="464">
        <f ca="1"/>
        <v>45740</v>
      </c>
      <c r="W55" vm="470">
        <f ca="1"/>
        <v>53.75</v>
      </c>
      <c r="X55" s="51">
        <f t="shared" ca="1" si="5"/>
        <v>-1.1766868909726114E-2</v>
      </c>
      <c r="Z55" vm="464">
        <f ca="1"/>
        <v>45740</v>
      </c>
      <c r="AA55" vm="471">
        <f ca="1"/>
        <v>510.8</v>
      </c>
      <c r="AB55" s="51">
        <f t="shared" ca="1" si="6"/>
        <v>-1.8183216084265541E-2</v>
      </c>
      <c r="AD55" vm="464">
        <f ca="1"/>
        <v>45740</v>
      </c>
      <c r="AE55" vm="472">
        <f ca="1"/>
        <v>37120.33</v>
      </c>
      <c r="AF55" s="51">
        <f t="shared" ca="1" si="7"/>
        <v>-1.4776365247182177E-2</v>
      </c>
    </row>
    <row r="56" spans="2:32">
      <c r="B56" s="89" vm="473">
        <f ca="1"/>
        <v>45747</v>
      </c>
      <c r="C56" s="89" vm="474">
        <f ca="1"/>
        <v>196.15</v>
      </c>
      <c r="D56" s="90">
        <f t="shared" ca="1" si="0"/>
        <v>-0.11604326273095988</v>
      </c>
      <c r="F56" s="89" vm="473">
        <f ca="1"/>
        <v>45747</v>
      </c>
      <c r="G56" s="89" vm="475">
        <f ca="1"/>
        <v>52.53</v>
      </c>
      <c r="H56" s="90">
        <f t="shared" ca="1" si="1"/>
        <v>-0.10663265306122438</v>
      </c>
      <c r="J56" s="89" vm="473">
        <f ca="1"/>
        <v>45747</v>
      </c>
      <c r="K56" s="89" vm="476">
        <f ca="1"/>
        <v>20.170000000000002</v>
      </c>
      <c r="L56" s="90">
        <f t="shared" ca="1" si="2"/>
        <v>-0.10870525850640733</v>
      </c>
      <c r="N56" s="89" vm="473">
        <f ca="1"/>
        <v>45747</v>
      </c>
      <c r="O56" s="89" vm="477">
        <f ca="1"/>
        <v>5.26</v>
      </c>
      <c r="P56" s="92">
        <f t="shared" ca="1" si="3"/>
        <v>-0.16507936507936505</v>
      </c>
      <c r="R56" s="89" vm="473">
        <f ca="1"/>
        <v>45747</v>
      </c>
      <c r="S56" s="89" vm="478">
        <f ca="1"/>
        <v>17.79</v>
      </c>
      <c r="T56" s="90">
        <f t="shared" ca="1" si="4"/>
        <v>-0.14314613235719109</v>
      </c>
      <c r="V56" vm="473">
        <f ca="1"/>
        <v>45747</v>
      </c>
      <c r="W56" vm="479">
        <f ca="1"/>
        <v>49.104999999999997</v>
      </c>
      <c r="X56" s="51">
        <f t="shared" ca="1" si="5"/>
        <v>-8.64186046511628E-2</v>
      </c>
      <c r="Z56" vm="473">
        <f ca="1"/>
        <v>45747</v>
      </c>
      <c r="AA56" vm="480">
        <f ca="1"/>
        <v>465.52</v>
      </c>
      <c r="AB56" s="51">
        <f t="shared" ca="1" si="6"/>
        <v>-8.8645262333594377E-2</v>
      </c>
      <c r="AD56" vm="473">
        <f ca="1"/>
        <v>45747</v>
      </c>
      <c r="AE56" vm="481">
        <f ca="1"/>
        <v>33780.58</v>
      </c>
      <c r="AF56" s="51">
        <f t="shared" ca="1" si="7"/>
        <v>-8.997091351289177E-2</v>
      </c>
    </row>
    <row r="57" spans="2:32">
      <c r="B57" s="89" vm="482">
        <f ca="1"/>
        <v>45754</v>
      </c>
      <c r="C57" s="89" vm="483">
        <f ca="1"/>
        <v>195.85</v>
      </c>
      <c r="D57" s="90">
        <f t="shared" ca="1" si="0"/>
        <v>-1.5294417537599081E-3</v>
      </c>
      <c r="F57" s="89" vm="482">
        <f ca="1"/>
        <v>45754</v>
      </c>
      <c r="G57" s="89" vm="484">
        <f ca="1"/>
        <v>47.02</v>
      </c>
      <c r="H57" s="90">
        <f t="shared" ca="1" si="1"/>
        <v>-0.10489244241385876</v>
      </c>
      <c r="J57" s="89" vm="482">
        <f ca="1"/>
        <v>45754</v>
      </c>
      <c r="K57" s="89" vm="485">
        <f ca="1"/>
        <v>19.02</v>
      </c>
      <c r="L57" s="90">
        <f t="shared" ca="1" si="2"/>
        <v>-5.7015369360436385E-2</v>
      </c>
      <c r="N57" s="89" vm="482">
        <f ca="1"/>
        <v>45754</v>
      </c>
      <c r="O57" s="89" vm="486">
        <f ca="1"/>
        <v>5.19</v>
      </c>
      <c r="P57" s="92">
        <f t="shared" ca="1" si="3"/>
        <v>-1.3307984790874361E-2</v>
      </c>
      <c r="R57" s="89" vm="482">
        <f ca="1"/>
        <v>45754</v>
      </c>
      <c r="S57" s="89" vm="487">
        <f ca="1"/>
        <v>20.61</v>
      </c>
      <c r="T57" s="90">
        <f t="shared" ca="1" si="4"/>
        <v>0.1585160202360878</v>
      </c>
      <c r="V57" vm="482">
        <f ca="1"/>
        <v>45754</v>
      </c>
      <c r="W57" vm="488">
        <f ca="1"/>
        <v>48.42</v>
      </c>
      <c r="X57" s="51">
        <f t="shared" ca="1" si="5"/>
        <v>-1.3949699623256206E-2</v>
      </c>
      <c r="Z57" vm="482">
        <f ca="1"/>
        <v>45754</v>
      </c>
      <c r="AA57" vm="489">
        <f ca="1"/>
        <v>490.55</v>
      </c>
      <c r="AB57" s="51">
        <f t="shared" ca="1" si="6"/>
        <v>5.3767829523973187E-2</v>
      </c>
      <c r="AD57" vm="482">
        <f ca="1"/>
        <v>45754</v>
      </c>
      <c r="AE57" vm="490">
        <f ca="1"/>
        <v>33585.58</v>
      </c>
      <c r="AF57" s="51">
        <f t="shared" ca="1" si="7"/>
        <v>-5.7725474222171114E-3</v>
      </c>
    </row>
    <row r="58" spans="2:32">
      <c r="B58" s="89" vm="491">
        <f ca="1"/>
        <v>45761</v>
      </c>
      <c r="C58" s="89" vm="492">
        <f ca="1"/>
        <v>198.65</v>
      </c>
      <c r="D58" s="90">
        <f t="shared" ca="1" si="0"/>
        <v>1.4296655603778463E-2</v>
      </c>
      <c r="F58" s="89" vm="491">
        <f ca="1"/>
        <v>45761</v>
      </c>
      <c r="G58" s="89" vm="493">
        <f ca="1"/>
        <v>47.8</v>
      </c>
      <c r="H58" s="90">
        <f t="shared" ca="1" si="1"/>
        <v>1.6588685665674063E-2</v>
      </c>
      <c r="J58" s="89" vm="491">
        <f ca="1"/>
        <v>45761</v>
      </c>
      <c r="K58" s="89" vm="494">
        <f ca="1"/>
        <v>20.62</v>
      </c>
      <c r="L58" s="90">
        <f t="shared" ca="1" si="2"/>
        <v>8.4121976866456505E-2</v>
      </c>
      <c r="N58" s="89" vm="491">
        <f ca="1"/>
        <v>45761</v>
      </c>
      <c r="O58" s="89" vm="495">
        <f ca="1"/>
        <v>5.83</v>
      </c>
      <c r="P58" s="92">
        <f t="shared" ca="1" si="3"/>
        <v>0.12331406551059731</v>
      </c>
      <c r="R58" s="89" vm="491">
        <f ca="1"/>
        <v>45761</v>
      </c>
      <c r="S58" s="89" vm="496">
        <f ca="1"/>
        <v>20.045500000000001</v>
      </c>
      <c r="T58" s="90">
        <f t="shared" ca="1" si="4"/>
        <v>-2.7389616690926655E-2</v>
      </c>
      <c r="V58" vm="491">
        <f ca="1"/>
        <v>45761</v>
      </c>
      <c r="W58" vm="497">
        <f ca="1"/>
        <v>50.31</v>
      </c>
      <c r="X58" s="51">
        <f t="shared" ca="1" si="5"/>
        <v>3.9033457249070702E-2</v>
      </c>
      <c r="Z58" vm="491">
        <f ca="1"/>
        <v>45761</v>
      </c>
      <c r="AA58" vm="498">
        <f ca="1"/>
        <v>483.9</v>
      </c>
      <c r="AB58" s="51">
        <f t="shared" ca="1" si="6"/>
        <v>-1.355621241463667E-2</v>
      </c>
      <c r="AD58" vm="491">
        <f ca="1"/>
        <v>45761</v>
      </c>
      <c r="AE58" vm="499">
        <f ca="1"/>
        <v>34730.28</v>
      </c>
      <c r="AF58" s="51">
        <f t="shared" ca="1" si="7"/>
        <v>3.4083079702658114E-2</v>
      </c>
    </row>
    <row r="59" spans="2:32">
      <c r="B59" s="89" vm="500">
        <f ca="1"/>
        <v>45769</v>
      </c>
      <c r="C59" s="89" vm="178">
        <f ca="1"/>
        <v>217</v>
      </c>
      <c r="D59" s="90">
        <f t="shared" ca="1" si="0"/>
        <v>9.2373521268562797E-2</v>
      </c>
      <c r="F59" s="89" vm="500">
        <f ca="1"/>
        <v>45769</v>
      </c>
      <c r="G59" s="89" vm="501">
        <f ca="1"/>
        <v>50.5</v>
      </c>
      <c r="H59" s="90">
        <f t="shared" ca="1" si="1"/>
        <v>5.6485355648535629E-2</v>
      </c>
      <c r="J59" s="89" vm="500">
        <f ca="1"/>
        <v>45769</v>
      </c>
      <c r="K59" s="89" vm="502">
        <f ca="1"/>
        <v>22.73</v>
      </c>
      <c r="L59" s="90">
        <f t="shared" ca="1" si="2"/>
        <v>0.10232783705140647</v>
      </c>
      <c r="N59" s="89" vm="503">
        <f ca="1"/>
        <v>45768</v>
      </c>
      <c r="O59" s="89" vm="504">
        <f ca="1"/>
        <v>5.71</v>
      </c>
      <c r="P59" s="92">
        <f t="shared" ca="1" si="3"/>
        <v>-2.0583190394511175E-2</v>
      </c>
      <c r="R59" s="89" vm="503">
        <f ca="1"/>
        <v>45768</v>
      </c>
      <c r="S59" s="89" vm="505">
        <f ca="1"/>
        <v>21.69</v>
      </c>
      <c r="T59" s="90">
        <f t="shared" ca="1" si="4"/>
        <v>8.2038362724801139E-2</v>
      </c>
      <c r="V59" vm="500">
        <f ca="1"/>
        <v>45769</v>
      </c>
      <c r="W59" vm="506">
        <f ca="1"/>
        <v>51.94</v>
      </c>
      <c r="X59" s="51">
        <f t="shared" ca="1" si="5"/>
        <v>3.2399125422381214E-2</v>
      </c>
      <c r="Z59" vm="503">
        <f ca="1"/>
        <v>45768</v>
      </c>
      <c r="AA59" vm="507">
        <f ca="1"/>
        <v>506.11</v>
      </c>
      <c r="AB59" s="51">
        <f t="shared" ca="1" si="6"/>
        <v>4.5897912791899254E-2</v>
      </c>
      <c r="AD59" vm="503">
        <f ca="1"/>
        <v>45768</v>
      </c>
      <c r="AE59" vm="508">
        <f ca="1"/>
        <v>35705.74</v>
      </c>
      <c r="AF59" s="51">
        <f t="shared" ca="1" si="7"/>
        <v>2.8086730081070543E-2</v>
      </c>
    </row>
    <row r="60" spans="2:32">
      <c r="B60" s="89" vm="509">
        <f ca="1"/>
        <v>45775</v>
      </c>
      <c r="C60" s="89" vm="510">
        <f ca="1"/>
        <v>206.7</v>
      </c>
      <c r="D60" s="90">
        <f t="shared" ca="1" si="0"/>
        <v>-4.7465437788018483E-2</v>
      </c>
      <c r="F60" s="89" vm="509">
        <f ca="1"/>
        <v>45775</v>
      </c>
      <c r="G60" s="89" vm="511">
        <f ca="1"/>
        <v>50.83</v>
      </c>
      <c r="H60" s="90">
        <f t="shared" ca="1" si="1"/>
        <v>6.5346534653465405E-3</v>
      </c>
      <c r="J60" s="89" vm="509">
        <f ca="1"/>
        <v>45775</v>
      </c>
      <c r="K60" s="89" vm="512">
        <f ca="1"/>
        <v>23.05</v>
      </c>
      <c r="L60" s="90">
        <f t="shared" ca="1" si="2"/>
        <v>1.4078310602727795E-2</v>
      </c>
      <c r="N60" s="89" vm="509">
        <f ca="1"/>
        <v>45775</v>
      </c>
      <c r="O60" s="89" vm="513">
        <f ca="1"/>
        <v>5.99</v>
      </c>
      <c r="P60" s="92">
        <f t="shared" ca="1" si="3"/>
        <v>4.9036777583187474E-2</v>
      </c>
      <c r="R60" s="89" vm="509">
        <f ca="1"/>
        <v>45775</v>
      </c>
      <c r="S60" s="89" vm="514">
        <f ca="1"/>
        <v>22.32</v>
      </c>
      <c r="T60" s="90">
        <f t="shared" ca="1" si="4"/>
        <v>2.9045643153526868E-2</v>
      </c>
      <c r="V60" vm="509">
        <f ca="1"/>
        <v>45775</v>
      </c>
      <c r="W60" vm="515">
        <f ca="1"/>
        <v>53.6</v>
      </c>
      <c r="X60" s="51">
        <f t="shared" ca="1" si="5"/>
        <v>3.1959953792837892E-2</v>
      </c>
      <c r="Z60" vm="509">
        <f ca="1"/>
        <v>45775</v>
      </c>
      <c r="AA60" vm="516">
        <f ca="1"/>
        <v>520.71</v>
      </c>
      <c r="AB60" s="51">
        <f t="shared" ca="1" si="6"/>
        <v>2.884748374859214E-2</v>
      </c>
      <c r="AD60" vm="509">
        <f ca="1"/>
        <v>45775</v>
      </c>
      <c r="AE60" vm="517">
        <f ca="1"/>
        <v>36830.69</v>
      </c>
      <c r="AF60" s="51">
        <f t="shared" ca="1" si="7"/>
        <v>3.1506138788889526E-2</v>
      </c>
    </row>
    <row r="61" spans="2:32">
      <c r="B61" s="89" vm="518">
        <f ca="1"/>
        <v>45782</v>
      </c>
      <c r="C61" s="89" vm="519">
        <f ca="1"/>
        <v>209</v>
      </c>
      <c r="D61" s="90">
        <f t="shared" ca="1" si="0"/>
        <v>1.1127237542331914E-2</v>
      </c>
      <c r="F61" s="89" vm="518">
        <f ca="1"/>
        <v>45782</v>
      </c>
      <c r="G61" s="89" vm="520">
        <f ca="1"/>
        <v>52.15</v>
      </c>
      <c r="H61" s="90">
        <f t="shared" ca="1" si="1"/>
        <v>2.5968915994491359E-2</v>
      </c>
      <c r="J61" s="89" vm="518">
        <f ca="1"/>
        <v>45782</v>
      </c>
      <c r="K61" s="89" vm="521">
        <f ca="1"/>
        <v>22.57</v>
      </c>
      <c r="L61" s="90">
        <f t="shared" ca="1" si="2"/>
        <v>-2.0824295010846039E-2</v>
      </c>
      <c r="N61" s="89" vm="518">
        <f ca="1"/>
        <v>45782</v>
      </c>
      <c r="O61" s="89" vm="522">
        <f ca="1"/>
        <v>5.84</v>
      </c>
      <c r="P61" s="92">
        <f t="shared" ca="1" si="3"/>
        <v>-2.5041736227045086E-2</v>
      </c>
      <c r="R61" s="89" vm="518">
        <f ca="1"/>
        <v>45782</v>
      </c>
      <c r="S61" s="89" vm="523">
        <f ca="1"/>
        <v>22.81</v>
      </c>
      <c r="T61" s="90">
        <f t="shared" ca="1" si="4"/>
        <v>2.195340501792109E-2</v>
      </c>
      <c r="V61" vm="518">
        <f ca="1"/>
        <v>45782</v>
      </c>
      <c r="W61" vm="524">
        <f ca="1"/>
        <v>53.9</v>
      </c>
      <c r="X61" s="51">
        <f t="shared" ca="1" si="5"/>
        <v>5.5970149253730117E-3</v>
      </c>
      <c r="Z61" vm="518">
        <f ca="1"/>
        <v>45782</v>
      </c>
      <c r="AA61" vm="525">
        <f ca="1"/>
        <v>518.65</v>
      </c>
      <c r="AB61" s="51">
        <f t="shared" ca="1" si="6"/>
        <v>-3.9561368131975083E-3</v>
      </c>
      <c r="AD61" vm="526">
        <f ca="1"/>
        <v>45784</v>
      </c>
      <c r="AE61" vm="527">
        <f ca="1"/>
        <v>37503.33</v>
      </c>
      <c r="AF61" s="51">
        <f t="shared" ca="1" si="7"/>
        <v>1.8263030097997124E-2</v>
      </c>
    </row>
    <row r="62" spans="2:32">
      <c r="B62" s="89" vm="528">
        <f ca="1"/>
        <v>45789</v>
      </c>
      <c r="C62" s="89" vm="529">
        <f ca="1"/>
        <v>219.1</v>
      </c>
      <c r="D62" s="90">
        <f t="shared" ca="1" si="0"/>
        <v>4.8325358851674549E-2</v>
      </c>
      <c r="F62" s="89" vm="528">
        <f ca="1"/>
        <v>45789</v>
      </c>
      <c r="G62" s="89" vm="530">
        <f ca="1"/>
        <v>56.91</v>
      </c>
      <c r="H62" s="90">
        <f t="shared" ca="1" si="1"/>
        <v>9.1275167785234812E-2</v>
      </c>
      <c r="J62" s="89" vm="528">
        <f ca="1"/>
        <v>45789</v>
      </c>
      <c r="K62" s="89" vm="531">
        <f ca="1"/>
        <v>23.34</v>
      </c>
      <c r="L62" s="90">
        <f t="shared" ca="1" si="2"/>
        <v>3.4116083296411137E-2</v>
      </c>
      <c r="N62" s="89" vm="528">
        <f ca="1"/>
        <v>45789</v>
      </c>
      <c r="O62" s="89" vm="52">
        <f ca="1"/>
        <v>6.71</v>
      </c>
      <c r="P62" s="92">
        <f t="shared" ca="1" si="3"/>
        <v>0.14897260273972601</v>
      </c>
      <c r="R62" s="89" vm="528">
        <f ca="1"/>
        <v>45789</v>
      </c>
      <c r="S62" s="89" vm="532">
        <f ca="1"/>
        <v>22.6</v>
      </c>
      <c r="T62" s="90">
        <f t="shared" ca="1" si="4"/>
        <v>-9.2064883822883248E-3</v>
      </c>
      <c r="V62" vm="528">
        <f ca="1"/>
        <v>45789</v>
      </c>
      <c r="W62" vm="533">
        <f ca="1"/>
        <v>55.17</v>
      </c>
      <c r="X62" s="51">
        <f t="shared" ca="1" si="5"/>
        <v>2.3562152133580705E-2</v>
      </c>
      <c r="Z62" vm="528">
        <f ca="1"/>
        <v>45789</v>
      </c>
      <c r="AA62" vm="534">
        <f ca="1"/>
        <v>546.26</v>
      </c>
      <c r="AB62" s="51">
        <f t="shared" ca="1" si="6"/>
        <v>5.3234358430540807E-2</v>
      </c>
      <c r="AD62" vm="528">
        <f ca="1"/>
        <v>45789</v>
      </c>
      <c r="AE62" vm="535">
        <f ca="1"/>
        <v>37753.72</v>
      </c>
      <c r="AF62" s="51">
        <f t="shared" ca="1" si="7"/>
        <v>6.6764737957936138E-3</v>
      </c>
    </row>
    <row r="63" spans="2:32">
      <c r="B63" s="89" vm="536">
        <f ca="1"/>
        <v>45796</v>
      </c>
      <c r="C63" s="89" vm="537">
        <f ca="1"/>
        <v>214</v>
      </c>
      <c r="D63" s="90">
        <f t="shared" ca="1" si="0"/>
        <v>-2.3277042446371521E-2</v>
      </c>
      <c r="F63" s="89" vm="536">
        <f ca="1"/>
        <v>45796</v>
      </c>
      <c r="G63" s="89" vm="538">
        <f ca="1"/>
        <v>52.94</v>
      </c>
      <c r="H63" s="90">
        <f t="shared" ca="1" si="1"/>
        <v>-6.9759269021261616E-2</v>
      </c>
      <c r="J63" s="89" vm="536">
        <f ca="1"/>
        <v>45796</v>
      </c>
      <c r="K63" s="89" vm="539">
        <f ca="1"/>
        <v>22.03</v>
      </c>
      <c r="L63" s="90">
        <f t="shared" ca="1" si="2"/>
        <v>-5.6126820908311892E-2</v>
      </c>
      <c r="N63" s="89" vm="536">
        <f ca="1"/>
        <v>45796</v>
      </c>
      <c r="O63" s="89" vm="540">
        <f ca="1"/>
        <v>6.69</v>
      </c>
      <c r="P63" s="92">
        <f t="shared" ca="1" si="3"/>
        <v>-2.9806259314455463E-3</v>
      </c>
      <c r="R63" s="89" vm="536">
        <f ca="1"/>
        <v>45796</v>
      </c>
      <c r="S63" s="89" vm="541">
        <f ca="1"/>
        <v>23.911999999999999</v>
      </c>
      <c r="T63" s="90">
        <f t="shared" ca="1" si="4"/>
        <v>5.8053097345132532E-2</v>
      </c>
      <c r="V63" vm="536">
        <f ca="1"/>
        <v>45796</v>
      </c>
      <c r="W63" vm="542">
        <f ca="1"/>
        <v>54.89</v>
      </c>
      <c r="X63" s="51">
        <f t="shared" ca="1" si="5"/>
        <v>-5.0752220409643334E-3</v>
      </c>
      <c r="Z63" vm="536">
        <f ca="1"/>
        <v>45796</v>
      </c>
      <c r="AA63" vm="543">
        <f ca="1"/>
        <v>532.4</v>
      </c>
      <c r="AB63" s="51">
        <f t="shared" ca="1" si="6"/>
        <v>-2.5372533225936356E-2</v>
      </c>
      <c r="AD63" vm="536">
        <f ca="1"/>
        <v>45796</v>
      </c>
      <c r="AE63" vm="544">
        <f ca="1"/>
        <v>37160.47</v>
      </c>
      <c r="AF63" s="51">
        <f t="shared" ca="1" si="7"/>
        <v>-1.5713683313856253E-2</v>
      </c>
    </row>
    <row r="64" spans="2:32">
      <c r="B64" s="89" vm="545">
        <f ca="1"/>
        <v>45803</v>
      </c>
      <c r="C64" s="89" vm="546">
        <f ca="1"/>
        <v>219.5</v>
      </c>
      <c r="D64" s="90">
        <f t="shared" ca="1" si="0"/>
        <v>2.5700934579439227E-2</v>
      </c>
      <c r="F64" s="89" vm="545">
        <f ca="1"/>
        <v>45803</v>
      </c>
      <c r="G64" s="89" vm="547">
        <f ca="1"/>
        <v>53.59</v>
      </c>
      <c r="H64" s="90">
        <f t="shared" ca="1" si="1"/>
        <v>1.2278050623347303E-2</v>
      </c>
      <c r="J64" s="89" vm="545">
        <f ca="1"/>
        <v>45803</v>
      </c>
      <c r="K64" s="89" vm="548">
        <f ca="1"/>
        <v>22.8</v>
      </c>
      <c r="L64" s="90">
        <f t="shared" ca="1" si="2"/>
        <v>3.4952337721289028E-2</v>
      </c>
      <c r="N64" s="89" vm="549">
        <f ca="1"/>
        <v>45804</v>
      </c>
      <c r="O64" s="89" vm="52">
        <f ca="1"/>
        <v>6.71</v>
      </c>
      <c r="P64" s="92">
        <f t="shared" ca="1" si="3"/>
        <v>2.989536621823552E-3</v>
      </c>
      <c r="R64" s="89" vm="549">
        <f ca="1"/>
        <v>45804</v>
      </c>
      <c r="S64" s="89" vm="550">
        <f ca="1"/>
        <v>24.04</v>
      </c>
      <c r="T64" s="90">
        <f t="shared" ca="1" si="4"/>
        <v>5.352960856473743E-3</v>
      </c>
      <c r="V64" vm="545">
        <f ca="1"/>
        <v>45803</v>
      </c>
      <c r="W64" vm="551">
        <f ca="1"/>
        <v>55.33</v>
      </c>
      <c r="X64" s="51">
        <f t="shared" ca="1" si="5"/>
        <v>8.0160320641282645E-3</v>
      </c>
      <c r="Z64" vm="549">
        <f ca="1"/>
        <v>45804</v>
      </c>
      <c r="AA64" vm="552">
        <f ca="1"/>
        <v>541.76</v>
      </c>
      <c r="AB64" s="51">
        <f t="shared" ca="1" si="6"/>
        <v>1.7580766341096954E-2</v>
      </c>
      <c r="AD64" vm="545">
        <f ca="1"/>
        <v>45803</v>
      </c>
      <c r="AE64" vm="553">
        <f ca="1"/>
        <v>37965.1</v>
      </c>
      <c r="AF64" s="51">
        <f t="shared" ca="1" si="7"/>
        <v>2.1652847770762707E-2</v>
      </c>
    </row>
    <row r="65" spans="2:32">
      <c r="B65" s="89" vm="554">
        <f ca="1"/>
        <v>45810</v>
      </c>
      <c r="C65" s="89" vm="555">
        <f ca="1"/>
        <v>211.4</v>
      </c>
      <c r="D65" s="90">
        <f t="shared" ca="1" si="0"/>
        <v>-3.6902050113895135E-2</v>
      </c>
      <c r="F65" s="89" vm="554">
        <f ca="1"/>
        <v>45810</v>
      </c>
      <c r="G65" s="89" vm="556">
        <f ca="1"/>
        <v>54.95</v>
      </c>
      <c r="H65" s="90">
        <f t="shared" ca="1" si="1"/>
        <v>2.5377869005411391E-2</v>
      </c>
      <c r="J65" s="89" vm="554">
        <f ca="1"/>
        <v>45810</v>
      </c>
      <c r="K65" s="89" vm="557">
        <f ca="1"/>
        <v>21.66</v>
      </c>
      <c r="L65" s="90">
        <f t="shared" ca="1" si="2"/>
        <v>-5.0000000000000044E-2</v>
      </c>
      <c r="N65" s="89" vm="554">
        <f ca="1"/>
        <v>45810</v>
      </c>
      <c r="O65" s="89" vm="42">
        <f ca="1"/>
        <v>6.74</v>
      </c>
      <c r="P65" s="92">
        <f t="shared" ca="1" si="3"/>
        <v>4.4709388971684305E-3</v>
      </c>
      <c r="R65" s="89" vm="554">
        <f ca="1"/>
        <v>45810</v>
      </c>
      <c r="S65" s="89" vm="558">
        <f ca="1"/>
        <v>24.175000000000001</v>
      </c>
      <c r="T65" s="90">
        <f t="shared" ca="1" si="4"/>
        <v>5.6156405990017699E-3</v>
      </c>
      <c r="V65" vm="554">
        <f ca="1"/>
        <v>45810</v>
      </c>
      <c r="W65" vm="559">
        <f ca="1"/>
        <v>55.81</v>
      </c>
      <c r="X65" s="51">
        <f t="shared" ca="1" si="5"/>
        <v>8.6752213988794402E-3</v>
      </c>
      <c r="Z65" vm="554">
        <f ca="1"/>
        <v>45810</v>
      </c>
      <c r="AA65" vm="560">
        <f ca="1"/>
        <v>550.66</v>
      </c>
      <c r="AB65" s="51">
        <f t="shared" ca="1" si="6"/>
        <v>1.6427938570584777E-2</v>
      </c>
      <c r="AD65" vm="554">
        <f ca="1"/>
        <v>45810</v>
      </c>
      <c r="AE65" vm="561">
        <f ca="1"/>
        <v>37741.61</v>
      </c>
      <c r="AF65" s="51">
        <f t="shared" ca="1" si="7"/>
        <v>-5.886722279145773E-3</v>
      </c>
    </row>
    <row r="66" spans="2:32">
      <c r="B66" s="89" vm="562">
        <f ca="1"/>
        <v>45817</v>
      </c>
      <c r="C66" s="89" vm="563">
        <f ca="1"/>
        <v>200</v>
      </c>
      <c r="D66" s="90">
        <f t="shared" ca="1" si="0"/>
        <v>-5.392620624408706E-2</v>
      </c>
      <c r="F66" s="89" vm="562">
        <f ca="1"/>
        <v>45817</v>
      </c>
      <c r="G66" s="89" vm="564">
        <f ca="1"/>
        <v>53.68</v>
      </c>
      <c r="H66" s="90">
        <f t="shared" ca="1" si="1"/>
        <v>-2.3111919927206626E-2</v>
      </c>
      <c r="J66" s="89" vm="562">
        <f ca="1"/>
        <v>45817</v>
      </c>
      <c r="K66" s="89" vm="565">
        <f ca="1"/>
        <v>21.12</v>
      </c>
      <c r="L66" s="90">
        <f t="shared" ca="1" si="2"/>
        <v>-2.4930747922437657E-2</v>
      </c>
      <c r="N66" s="89" vm="562">
        <f ca="1"/>
        <v>45817</v>
      </c>
      <c r="O66" s="89" vm="566">
        <f ca="1"/>
        <v>6.6</v>
      </c>
      <c r="P66" s="92">
        <f t="shared" ca="1" si="3"/>
        <v>-2.0771513353115778E-2</v>
      </c>
      <c r="R66" s="89" vm="562">
        <f ca="1"/>
        <v>45817</v>
      </c>
      <c r="S66" s="89" vm="567">
        <f ca="1"/>
        <v>23.63</v>
      </c>
      <c r="T66" s="90">
        <f t="shared" ca="1" si="4"/>
        <v>-2.2543950361944232E-2</v>
      </c>
      <c r="V66" vm="562">
        <f ca="1"/>
        <v>45817</v>
      </c>
      <c r="W66" vm="427">
        <f ca="1"/>
        <v>54.91</v>
      </c>
      <c r="X66" s="51">
        <f t="shared" ca="1" si="5"/>
        <v>-1.6126142268410804E-2</v>
      </c>
      <c r="Z66" vm="562">
        <f ca="1"/>
        <v>45817</v>
      </c>
      <c r="AA66" vm="568">
        <f ca="1"/>
        <v>548.77</v>
      </c>
      <c r="AB66" s="51">
        <f t="shared" ca="1" si="6"/>
        <v>-3.4322449424326607E-3</v>
      </c>
      <c r="AD66" vm="562">
        <f ca="1"/>
        <v>45817</v>
      </c>
      <c r="AE66" vm="569">
        <f ca="1"/>
        <v>37834.25</v>
      </c>
      <c r="AF66" s="51">
        <f t="shared" ca="1" si="7"/>
        <v>2.4545852707396065E-3</v>
      </c>
    </row>
    <row r="67" spans="2:32">
      <c r="B67" s="89" vm="570">
        <f ca="1"/>
        <v>45824</v>
      </c>
      <c r="C67" s="89" vm="571">
        <f ca="1"/>
        <v>195.4</v>
      </c>
      <c r="D67" s="90">
        <f t="shared" ca="1" si="0"/>
        <v>-2.300000000000002E-2</v>
      </c>
      <c r="F67" s="89" vm="570">
        <f ca="1"/>
        <v>45824</v>
      </c>
      <c r="G67" s="89" vm="572">
        <f ca="1"/>
        <v>51.65</v>
      </c>
      <c r="H67" s="90">
        <f t="shared" ca="1" si="1"/>
        <v>-3.781669150521616E-2</v>
      </c>
      <c r="J67" s="89" vm="570">
        <f ca="1"/>
        <v>45824</v>
      </c>
      <c r="K67" s="89" vm="573">
        <f ca="1"/>
        <v>21.41</v>
      </c>
      <c r="L67" s="90">
        <f t="shared" ca="1" si="2"/>
        <v>1.3731060606060552E-2</v>
      </c>
      <c r="N67" s="89" vm="570">
        <f ca="1"/>
        <v>45824</v>
      </c>
      <c r="O67" s="89" vm="574">
        <f ca="1"/>
        <v>7.03</v>
      </c>
      <c r="P67" s="92">
        <f t="shared" ca="1" si="3"/>
        <v>6.5151515151515182E-2</v>
      </c>
      <c r="R67" s="89" vm="570">
        <f ca="1"/>
        <v>45824</v>
      </c>
      <c r="S67" s="89" vm="575">
        <f ca="1"/>
        <v>22.5</v>
      </c>
      <c r="T67" s="90">
        <f t="shared" ca="1" si="4"/>
        <v>-4.7820567075751108E-2</v>
      </c>
      <c r="V67" vm="570">
        <f ca="1"/>
        <v>45824</v>
      </c>
      <c r="W67" vm="576">
        <f ca="1"/>
        <v>53.53</v>
      </c>
      <c r="X67" s="51">
        <f t="shared" ca="1" si="5"/>
        <v>-2.5132034237843714E-2</v>
      </c>
      <c r="Z67" vm="570">
        <f ca="1"/>
        <v>45824</v>
      </c>
      <c r="AA67" vm="577">
        <f ca="1"/>
        <v>547.72</v>
      </c>
      <c r="AB67" s="51">
        <f t="shared" ca="1" si="6"/>
        <v>-1.9133698999580506E-3</v>
      </c>
      <c r="AD67" vm="570">
        <f ca="1"/>
        <v>45824</v>
      </c>
      <c r="AE67" vm="578">
        <f ca="1"/>
        <v>38403.230000000003</v>
      </c>
      <c r="AF67" s="51">
        <f t="shared" ca="1" si="7"/>
        <v>1.5038754567620716E-2</v>
      </c>
    </row>
    <row r="68" spans="2:32">
      <c r="B68" s="89" vm="579">
        <f ca="1"/>
        <v>45831</v>
      </c>
      <c r="C68" s="89" vm="580">
        <f ca="1"/>
        <v>199.6</v>
      </c>
      <c r="D68" s="90">
        <f t="shared" ca="1" si="0"/>
        <v>2.149437052200609E-2</v>
      </c>
      <c r="F68" s="89" vm="579">
        <f ca="1"/>
        <v>45831</v>
      </c>
      <c r="G68" s="89" vm="581">
        <f ca="1"/>
        <v>61.84</v>
      </c>
      <c r="H68" s="90">
        <f t="shared" ca="1" si="1"/>
        <v>0.19728944820909988</v>
      </c>
      <c r="J68" s="89" vm="579">
        <f ca="1"/>
        <v>45831</v>
      </c>
      <c r="K68" s="89" vm="582">
        <f ca="1"/>
        <v>22.77</v>
      </c>
      <c r="L68" s="90">
        <f t="shared" ca="1" si="2"/>
        <v>6.3521718822979967E-2</v>
      </c>
      <c r="N68" s="89" vm="579">
        <f ca="1"/>
        <v>45831</v>
      </c>
      <c r="O68" s="89" vm="154">
        <f ca="1"/>
        <v>6.89</v>
      </c>
      <c r="P68" s="92">
        <f t="shared" ca="1" si="3"/>
        <v>-1.9914651493598945E-2</v>
      </c>
      <c r="R68" s="89" vm="579">
        <f ca="1"/>
        <v>45831</v>
      </c>
      <c r="S68" s="89" vm="583">
        <f ca="1"/>
        <v>25.61</v>
      </c>
      <c r="T68" s="90">
        <f t="shared" ca="1" si="4"/>
        <v>0.13822222222222225</v>
      </c>
      <c r="V68" vm="579">
        <f ca="1"/>
        <v>45831</v>
      </c>
      <c r="W68" vm="584">
        <f ca="1"/>
        <v>54.23</v>
      </c>
      <c r="X68" s="51">
        <f t="shared" ca="1" si="5"/>
        <v>1.3076779376050673E-2</v>
      </c>
      <c r="Z68" vm="579">
        <f ca="1"/>
        <v>45831</v>
      </c>
      <c r="AA68" vm="585">
        <f ca="1"/>
        <v>566.95000000000005</v>
      </c>
      <c r="AB68" s="51">
        <f t="shared" ca="1" si="6"/>
        <v>3.510917987292772E-2</v>
      </c>
      <c r="AD68" vm="579">
        <f ca="1"/>
        <v>45831</v>
      </c>
      <c r="AE68" vm="586">
        <f ca="1"/>
        <v>40150.79</v>
      </c>
      <c r="AF68" s="51">
        <f t="shared" ca="1" si="7"/>
        <v>4.5505547319847794E-2</v>
      </c>
    </row>
    <row r="69" spans="2:32">
      <c r="B69" s="89" vm="587">
        <f ca="1"/>
        <v>45838</v>
      </c>
      <c r="C69" s="89" vm="588">
        <f ca="1"/>
        <v>205.3</v>
      </c>
      <c r="D69" s="90">
        <f t="shared" ca="1" si="0"/>
        <v>2.8557114228457081E-2</v>
      </c>
      <c r="F69" s="89" vm="587">
        <f ca="1"/>
        <v>45838</v>
      </c>
      <c r="G69" s="89" vm="589">
        <f ca="1"/>
        <v>64.5</v>
      </c>
      <c r="H69" s="90">
        <f t="shared" ca="1" si="1"/>
        <v>4.301423027166873E-2</v>
      </c>
      <c r="J69" s="89" vm="587">
        <f ca="1"/>
        <v>45838</v>
      </c>
      <c r="K69" s="89" vm="590">
        <f ca="1"/>
        <v>23.17</v>
      </c>
      <c r="L69" s="90">
        <f t="shared" ca="1" si="2"/>
        <v>1.7566974088713216E-2</v>
      </c>
      <c r="N69" s="89" vm="587">
        <f ca="1"/>
        <v>45838</v>
      </c>
      <c r="O69" s="89" vm="591">
        <f ca="1"/>
        <v>7.11</v>
      </c>
      <c r="P69" s="92">
        <f t="shared" ca="1" si="3"/>
        <v>3.19303338171264E-2</v>
      </c>
      <c r="R69" s="89" vm="587">
        <f ca="1"/>
        <v>45838</v>
      </c>
      <c r="S69" s="89" vm="592">
        <f ca="1"/>
        <v>24.99</v>
      </c>
      <c r="T69" s="90">
        <f t="shared" ca="1" si="4"/>
        <v>-2.4209293244826235E-2</v>
      </c>
      <c r="V69" vm="587">
        <f ca="1"/>
        <v>45838</v>
      </c>
      <c r="W69" vm="593">
        <f ca="1"/>
        <v>54</v>
      </c>
      <c r="X69" s="51">
        <f t="shared" ca="1" si="5"/>
        <v>-4.2411949105660707E-3</v>
      </c>
      <c r="Z69" vm="587">
        <f ca="1"/>
        <v>45838</v>
      </c>
      <c r="AA69" vm="594">
        <f ca="1"/>
        <v>575.22</v>
      </c>
      <c r="AB69" s="51">
        <f t="shared" ca="1" si="6"/>
        <v>1.4586824234941398E-2</v>
      </c>
      <c r="AD69" vm="587">
        <f ca="1"/>
        <v>45838</v>
      </c>
      <c r="AE69" vm="595">
        <f ca="1"/>
        <v>39810.879999999997</v>
      </c>
      <c r="AF69" s="51">
        <f t="shared" ca="1" si="7"/>
        <v>-8.4658359150593387E-3</v>
      </c>
    </row>
    <row r="70" spans="2:32">
      <c r="B70" s="89" vm="596">
        <f ca="1"/>
        <v>45845</v>
      </c>
      <c r="C70" s="89" vm="597">
        <f ca="1"/>
        <v>208.2</v>
      </c>
      <c r="D70" s="90">
        <f t="shared" ref="D70:D108" ca="1" si="8">(C70/C69) -1</f>
        <v>1.4125669751583025E-2</v>
      </c>
      <c r="F70" s="89" vm="596">
        <f ca="1"/>
        <v>45845</v>
      </c>
      <c r="G70" s="89" vm="598">
        <f ca="1"/>
        <v>62.06</v>
      </c>
      <c r="H70" s="90">
        <f t="shared" ref="H70:H108" ca="1" si="9">(G70/G69)-1</f>
        <v>-3.7829457364341068E-2</v>
      </c>
      <c r="J70" s="89" vm="596">
        <f ca="1"/>
        <v>45845</v>
      </c>
      <c r="K70" s="89" vm="599">
        <f ca="1"/>
        <v>22.79</v>
      </c>
      <c r="L70" s="90">
        <f t="shared" ref="L70:L108" ca="1" si="10">(K70/K69)-1</f>
        <v>-1.6400517911091983E-2</v>
      </c>
      <c r="N70" s="89" vm="596">
        <f ca="1"/>
        <v>45845</v>
      </c>
      <c r="O70" s="89" vm="600">
        <f ca="1"/>
        <v>6.85</v>
      </c>
      <c r="P70" s="92">
        <f t="shared" ref="P70:P108" ca="1" si="11">(O70/O69)-1</f>
        <v>-3.6568213783403802E-2</v>
      </c>
      <c r="R70" s="89" vm="596">
        <f ca="1"/>
        <v>45845</v>
      </c>
      <c r="S70" s="89" vm="601">
        <f ca="1"/>
        <v>24.7</v>
      </c>
      <c r="T70" s="90">
        <f t="shared" ref="T70:T108" ca="1" si="12">(S70/S69)-1</f>
        <v>-1.1604641856742703E-2</v>
      </c>
      <c r="V70" vm="596">
        <f ca="1"/>
        <v>45845</v>
      </c>
      <c r="W70" vm="602">
        <f ca="1"/>
        <v>54.6</v>
      </c>
      <c r="X70" s="51">
        <f t="shared" ref="X70:X108" ca="1" si="13">(W70/W69)-1</f>
        <v>1.1111111111111072E-2</v>
      </c>
      <c r="Z70" vm="596">
        <f ca="1"/>
        <v>45845</v>
      </c>
      <c r="AA70" vm="603">
        <f ca="1"/>
        <v>573.22</v>
      </c>
      <c r="AB70" s="51">
        <f t="shared" ref="AB70:AB108" ca="1" si="14">(AA70/AA69)-1</f>
        <v>-3.4769305656966454E-3</v>
      </c>
      <c r="AD70" vm="596">
        <f ca="1"/>
        <v>45845</v>
      </c>
      <c r="AE70" vm="604">
        <f ca="1"/>
        <v>39569.68</v>
      </c>
      <c r="AF70" s="51">
        <f t="shared" ref="AF70:AF108" ca="1" si="15">(AE70/AE69)-1</f>
        <v>-6.0586452748594422E-3</v>
      </c>
    </row>
    <row r="71" spans="2:32">
      <c r="B71" s="89" vm="605">
        <f ca="1"/>
        <v>45852</v>
      </c>
      <c r="C71" s="89" vm="606">
        <f ca="1"/>
        <v>205.8</v>
      </c>
      <c r="D71" s="90">
        <f t="shared" ca="1" si="8"/>
        <v>-1.1527377521613702E-2</v>
      </c>
      <c r="F71" s="89" vm="605">
        <f ca="1"/>
        <v>45852</v>
      </c>
      <c r="G71" s="89" vm="607">
        <f ca="1"/>
        <v>62.07</v>
      </c>
      <c r="H71" s="90">
        <f t="shared" ca="1" si="9"/>
        <v>1.6113438607789909E-4</v>
      </c>
      <c r="J71" s="89" vm="605">
        <f ca="1"/>
        <v>45852</v>
      </c>
      <c r="K71" s="89" vm="608">
        <f ca="1"/>
        <v>21.91</v>
      </c>
      <c r="L71" s="90">
        <f t="shared" ca="1" si="10"/>
        <v>-3.8613426941641049E-2</v>
      </c>
      <c r="N71" s="89" vm="605">
        <f ca="1"/>
        <v>45852</v>
      </c>
      <c r="O71" s="89" vm="609">
        <f ca="1"/>
        <v>6.86</v>
      </c>
      <c r="P71" s="92">
        <f t="shared" ca="1" si="11"/>
        <v>1.4598540145986938E-3</v>
      </c>
      <c r="R71" s="89" vm="605">
        <f ca="1"/>
        <v>45852</v>
      </c>
      <c r="S71" s="89" vm="610">
        <f ca="1"/>
        <v>24.2</v>
      </c>
      <c r="T71" s="90">
        <f t="shared" ca="1" si="12"/>
        <v>-2.0242914979757054E-2</v>
      </c>
      <c r="V71" vm="605">
        <f ca="1"/>
        <v>45852</v>
      </c>
      <c r="W71" vm="611">
        <f ca="1"/>
        <v>54.58</v>
      </c>
      <c r="X71" s="51">
        <f t="shared" ca="1" si="13"/>
        <v>-3.6630036630047602E-4</v>
      </c>
      <c r="Z71" vm="605">
        <f ca="1"/>
        <v>45852</v>
      </c>
      <c r="AA71" vm="612">
        <f ca="1"/>
        <v>576.91999999999996</v>
      </c>
      <c r="AB71" s="51">
        <f t="shared" ca="1" si="14"/>
        <v>6.454764313875927E-3</v>
      </c>
      <c r="AD71" vm="605">
        <f ca="1"/>
        <v>45852</v>
      </c>
      <c r="AE71" vm="613">
        <f ca="1"/>
        <v>39819.11</v>
      </c>
      <c r="AF71" s="51">
        <f t="shared" ca="1" si="15"/>
        <v>6.3035637387010013E-3</v>
      </c>
    </row>
    <row r="72" spans="2:32">
      <c r="B72" s="89" vm="614">
        <f ca="1"/>
        <v>45859</v>
      </c>
      <c r="C72" s="89" vm="615">
        <f ca="1"/>
        <v>198.95</v>
      </c>
      <c r="D72" s="90">
        <f t="shared" ca="1" si="8"/>
        <v>-3.3284742468416062E-2</v>
      </c>
      <c r="F72" s="89" vm="614">
        <f ca="1"/>
        <v>45859</v>
      </c>
      <c r="G72" s="89" vm="589">
        <f ca="1"/>
        <v>64.5</v>
      </c>
      <c r="H72" s="90">
        <f t="shared" ca="1" si="9"/>
        <v>3.9149347510874843E-2</v>
      </c>
      <c r="J72" s="89" vm="614">
        <f ca="1"/>
        <v>45859</v>
      </c>
      <c r="K72" s="89" vm="616">
        <f ca="1"/>
        <v>20.7</v>
      </c>
      <c r="L72" s="90">
        <f t="shared" ca="1" si="10"/>
        <v>-5.5225924235508983E-2</v>
      </c>
      <c r="N72" s="89" vm="614">
        <f ca="1"/>
        <v>45859</v>
      </c>
      <c r="O72" s="89" vm="617">
        <f ca="1"/>
        <v>7.36</v>
      </c>
      <c r="P72" s="92">
        <f t="shared" ca="1" si="11"/>
        <v>7.2886297376093312E-2</v>
      </c>
      <c r="R72" s="89" vm="614">
        <f ca="1"/>
        <v>45859</v>
      </c>
      <c r="S72" s="89" vm="618">
        <f ca="1"/>
        <v>25.28</v>
      </c>
      <c r="T72" s="90">
        <f t="shared" ca="1" si="12"/>
        <v>4.4628099173553704E-2</v>
      </c>
      <c r="V72" vm="614">
        <f ca="1"/>
        <v>45859</v>
      </c>
      <c r="W72" vm="427">
        <f ca="1"/>
        <v>54.91</v>
      </c>
      <c r="X72" s="51">
        <f t="shared" ca="1" si="13"/>
        <v>6.0461707585195423E-3</v>
      </c>
      <c r="Z72" vm="614">
        <f ca="1"/>
        <v>45859</v>
      </c>
      <c r="AA72" vm="619">
        <f ca="1"/>
        <v>585.58000000000004</v>
      </c>
      <c r="AB72" s="51">
        <f t="shared" ca="1" si="14"/>
        <v>1.5010746723982615E-2</v>
      </c>
      <c r="AD72" vm="620">
        <f ca="1"/>
        <v>45860</v>
      </c>
      <c r="AE72" vm="621">
        <f ca="1"/>
        <v>41456.230000000003</v>
      </c>
      <c r="AF72" s="51">
        <f t="shared" ca="1" si="15"/>
        <v>4.1113927458449107E-2</v>
      </c>
    </row>
    <row r="73" spans="2:32">
      <c r="B73" s="89" vm="622">
        <f ca="1"/>
        <v>45866</v>
      </c>
      <c r="C73" s="89" vm="623">
        <f ca="1"/>
        <v>167.25</v>
      </c>
      <c r="D73" s="90">
        <f t="shared" ca="1" si="8"/>
        <v>-0.15933651671274185</v>
      </c>
      <c r="F73" s="89" vm="622">
        <f ca="1"/>
        <v>45866</v>
      </c>
      <c r="G73" s="89" vm="624">
        <f ca="1"/>
        <v>63.56</v>
      </c>
      <c r="H73" s="90">
        <f t="shared" ca="1" si="9"/>
        <v>-1.4573643410852655E-2</v>
      </c>
      <c r="J73" s="89" vm="622">
        <f ca="1"/>
        <v>45866</v>
      </c>
      <c r="K73" s="89" vm="625">
        <f ca="1"/>
        <v>18.3</v>
      </c>
      <c r="L73" s="90">
        <f t="shared" ca="1" si="10"/>
        <v>-0.11594202898550721</v>
      </c>
      <c r="N73" s="89" vm="622">
        <f ca="1"/>
        <v>45866</v>
      </c>
      <c r="O73" s="89" vm="626">
        <f ca="1"/>
        <v>6.57</v>
      </c>
      <c r="P73" s="92">
        <f t="shared" ca="1" si="11"/>
        <v>-0.10733695652173914</v>
      </c>
      <c r="R73" s="89" vm="622">
        <f ca="1"/>
        <v>45866</v>
      </c>
      <c r="S73" s="89" vm="627">
        <f ca="1"/>
        <v>23.79</v>
      </c>
      <c r="T73" s="90">
        <f t="shared" ca="1" si="12"/>
        <v>-5.8939873417721556E-2</v>
      </c>
      <c r="V73" vm="622">
        <f ca="1"/>
        <v>45866</v>
      </c>
      <c r="W73" vm="628">
        <f ca="1"/>
        <v>53.23</v>
      </c>
      <c r="X73" s="51">
        <f t="shared" ca="1" si="13"/>
        <v>-3.0595519941722826E-2</v>
      </c>
      <c r="Z73" vm="622">
        <f ca="1"/>
        <v>45866</v>
      </c>
      <c r="AA73" vm="629">
        <f ca="1"/>
        <v>571.45000000000005</v>
      </c>
      <c r="AB73" s="51">
        <f t="shared" ca="1" si="14"/>
        <v>-2.4129922470029652E-2</v>
      </c>
      <c r="AD73" vm="622">
        <f ca="1"/>
        <v>45866</v>
      </c>
      <c r="AE73" vm="630">
        <f ca="1"/>
        <v>40799.599999999999</v>
      </c>
      <c r="AF73" s="51">
        <f t="shared" ca="1" si="15"/>
        <v>-1.5839115134203108E-2</v>
      </c>
    </row>
    <row r="74" spans="2:32">
      <c r="B74" s="89" vm="631">
        <f ca="1"/>
        <v>45873</v>
      </c>
      <c r="C74" s="89" vm="632">
        <f ca="1"/>
        <v>167.5</v>
      </c>
      <c r="D74" s="90">
        <f t="shared" ca="1" si="8"/>
        <v>1.494768310911887E-3</v>
      </c>
      <c r="F74" s="89" vm="631">
        <f ca="1"/>
        <v>45873</v>
      </c>
      <c r="G74" s="89" vm="633">
        <f ca="1"/>
        <v>63.13</v>
      </c>
      <c r="H74" s="90">
        <f t="shared" ca="1" si="9"/>
        <v>-6.7652611705475429E-3</v>
      </c>
      <c r="J74" s="89" vm="631">
        <f ca="1"/>
        <v>45873</v>
      </c>
      <c r="K74" s="89" vm="634">
        <f ca="1"/>
        <v>18.094999999999999</v>
      </c>
      <c r="L74" s="90">
        <f t="shared" ca="1" si="10"/>
        <v>-1.1202185792349773E-2</v>
      </c>
      <c r="N74" s="89" vm="631">
        <f ca="1"/>
        <v>45873</v>
      </c>
      <c r="O74" s="89" vm="635">
        <f ca="1"/>
        <v>5.44</v>
      </c>
      <c r="P74" s="92">
        <f t="shared" ca="1" si="11"/>
        <v>-0.17199391171993905</v>
      </c>
      <c r="R74" s="89" vm="631">
        <f ca="1"/>
        <v>45873</v>
      </c>
      <c r="S74" s="89" vm="636">
        <f ca="1"/>
        <v>23.62</v>
      </c>
      <c r="T74" s="90">
        <f t="shared" ca="1" si="12"/>
        <v>-7.1458596048759038E-3</v>
      </c>
      <c r="V74" vm="631">
        <f ca="1"/>
        <v>45873</v>
      </c>
      <c r="W74" vm="637">
        <f ca="1"/>
        <v>54.67</v>
      </c>
      <c r="X74" s="51">
        <f t="shared" ca="1" si="13"/>
        <v>2.7052414052226359E-2</v>
      </c>
      <c r="Z74" vm="631">
        <f ca="1"/>
        <v>45873</v>
      </c>
      <c r="AA74" vm="638">
        <f ca="1"/>
        <v>585.74</v>
      </c>
      <c r="AB74" s="51">
        <f t="shared" ca="1" si="14"/>
        <v>2.500656225391551E-2</v>
      </c>
      <c r="AD74" vm="631">
        <f ca="1"/>
        <v>45873</v>
      </c>
      <c r="AE74" vm="639">
        <f ca="1"/>
        <v>41820.480000000003</v>
      </c>
      <c r="AF74" s="51">
        <f t="shared" ca="1" si="15"/>
        <v>2.5021813939352544E-2</v>
      </c>
    </row>
    <row r="75" spans="2:32">
      <c r="B75" s="89" vm="640">
        <f ca="1"/>
        <v>45880</v>
      </c>
      <c r="C75" s="89" vm="641">
        <f ca="1"/>
        <v>166.2</v>
      </c>
      <c r="D75" s="90">
        <f t="shared" ca="1" si="8"/>
        <v>-7.7611940298507598E-3</v>
      </c>
      <c r="F75" s="89" vm="640">
        <f ca="1"/>
        <v>45880</v>
      </c>
      <c r="G75" s="89" vm="642">
        <f ca="1"/>
        <v>65.239999999999995</v>
      </c>
      <c r="H75" s="90">
        <f t="shared" ca="1" si="9"/>
        <v>3.3423095200380004E-2</v>
      </c>
      <c r="J75" s="89" vm="640">
        <f ca="1"/>
        <v>45880</v>
      </c>
      <c r="K75" s="89" vm="643">
        <f ca="1"/>
        <v>17.16</v>
      </c>
      <c r="L75" s="90">
        <f t="shared" ca="1" si="10"/>
        <v>-5.1671732522796332E-2</v>
      </c>
      <c r="N75" s="89" vm="640">
        <f ca="1"/>
        <v>45880</v>
      </c>
      <c r="O75" s="89" vm="644">
        <f ca="1"/>
        <v>5.17</v>
      </c>
      <c r="P75" s="92">
        <f t="shared" ca="1" si="11"/>
        <v>-4.9632352941176516E-2</v>
      </c>
      <c r="R75" s="89" vm="640">
        <f ca="1"/>
        <v>45880</v>
      </c>
      <c r="S75" s="89" vm="645">
        <f ca="1"/>
        <v>28.82</v>
      </c>
      <c r="T75" s="90">
        <f t="shared" ca="1" si="12"/>
        <v>0.2201524132091448</v>
      </c>
      <c r="V75" vm="640">
        <f ca="1"/>
        <v>45880</v>
      </c>
      <c r="W75" vm="646">
        <f ca="1"/>
        <v>55.41</v>
      </c>
      <c r="X75" s="51">
        <f t="shared" ca="1" si="13"/>
        <v>1.353576001463308E-2</v>
      </c>
      <c r="Z75" vm="640">
        <f ca="1"/>
        <v>45880</v>
      </c>
      <c r="AA75" vm="647">
        <f ca="1"/>
        <v>591.57000000000005</v>
      </c>
      <c r="AB75" s="51">
        <f t="shared" ca="1" si="14"/>
        <v>9.9532215658826306E-3</v>
      </c>
      <c r="AD75" vm="648">
        <f ca="1"/>
        <v>45881</v>
      </c>
      <c r="AE75" vm="649">
        <f ca="1"/>
        <v>43378.31</v>
      </c>
      <c r="AF75" s="51">
        <f t="shared" ca="1" si="15"/>
        <v>3.7250409368806636E-2</v>
      </c>
    </row>
    <row r="76" spans="2:32">
      <c r="B76" s="89" vm="650">
        <f ca="1"/>
        <v>45887</v>
      </c>
      <c r="C76" s="89" vm="651">
        <f ca="1"/>
        <v>171.45</v>
      </c>
      <c r="D76" s="90">
        <f t="shared" ca="1" si="8"/>
        <v>3.1588447653429608E-2</v>
      </c>
      <c r="F76" s="89" vm="650">
        <f ca="1"/>
        <v>45887</v>
      </c>
      <c r="G76" s="89" vm="652">
        <f ca="1"/>
        <v>67.03</v>
      </c>
      <c r="H76" s="90">
        <f t="shared" ca="1" si="9"/>
        <v>2.7437155119558687E-2</v>
      </c>
      <c r="J76" s="89" vm="650">
        <f ca="1"/>
        <v>45887</v>
      </c>
      <c r="K76" s="89" vm="653">
        <f ca="1"/>
        <v>18.739999999999998</v>
      </c>
      <c r="L76" s="90">
        <f t="shared" ca="1" si="10"/>
        <v>9.207459207459201E-2</v>
      </c>
      <c r="N76" s="89" vm="650">
        <f ca="1"/>
        <v>45887</v>
      </c>
      <c r="O76" s="89" vm="654">
        <f ca="1"/>
        <v>5.14</v>
      </c>
      <c r="P76" s="92">
        <f t="shared" ca="1" si="11"/>
        <v>-5.8027079303675233E-3</v>
      </c>
      <c r="R76" s="89" vm="650">
        <f ca="1"/>
        <v>45887</v>
      </c>
      <c r="S76" s="89" vm="655">
        <f ca="1"/>
        <v>28.57</v>
      </c>
      <c r="T76" s="90">
        <f t="shared" ca="1" si="12"/>
        <v>-8.6745315752949637E-3</v>
      </c>
      <c r="V76" vm="650">
        <f ca="1"/>
        <v>45887</v>
      </c>
      <c r="W76" vm="656">
        <f ca="1"/>
        <v>56.16</v>
      </c>
      <c r="X76" s="51">
        <f t="shared" ca="1" si="13"/>
        <v>1.3535462912831697E-2</v>
      </c>
      <c r="Z76" vm="650">
        <f ca="1"/>
        <v>45887</v>
      </c>
      <c r="AA76" vm="657">
        <f ca="1"/>
        <v>593.21</v>
      </c>
      <c r="AB76" s="51">
        <f t="shared" ca="1" si="14"/>
        <v>2.7722839224435525E-3</v>
      </c>
      <c r="AD76" vm="650">
        <f ca="1"/>
        <v>45887</v>
      </c>
      <c r="AE76" vm="658">
        <f ca="1"/>
        <v>42633.29</v>
      </c>
      <c r="AF76" s="51">
        <f t="shared" ca="1" si="15"/>
        <v>-1.7174942961124984E-2</v>
      </c>
    </row>
    <row r="77" spans="2:32">
      <c r="B77" s="89" vm="659">
        <f ca="1"/>
        <v>45894</v>
      </c>
      <c r="C77" s="89" vm="660">
        <f ca="1"/>
        <v>166.35</v>
      </c>
      <c r="D77" s="90">
        <f t="shared" ca="1" si="8"/>
        <v>-2.9746281714785661E-2</v>
      </c>
      <c r="F77" s="89" vm="659">
        <f ca="1"/>
        <v>45894</v>
      </c>
      <c r="G77" s="89" vm="661">
        <f ca="1"/>
        <v>66.44</v>
      </c>
      <c r="H77" s="90">
        <f t="shared" ca="1" si="9"/>
        <v>-8.8020289422646725E-3</v>
      </c>
      <c r="J77" s="89" vm="659">
        <f ca="1"/>
        <v>45894</v>
      </c>
      <c r="K77" s="89" vm="662">
        <f ca="1"/>
        <v>21.49</v>
      </c>
      <c r="L77" s="90">
        <f t="shared" ca="1" si="10"/>
        <v>0.14674493062966909</v>
      </c>
      <c r="N77" s="89" vm="659">
        <f ca="1"/>
        <v>45894</v>
      </c>
      <c r="O77" s="89" vm="663">
        <f ca="1"/>
        <v>5</v>
      </c>
      <c r="P77" s="92">
        <f t="shared" ca="1" si="11"/>
        <v>-2.7237354085603016E-2</v>
      </c>
      <c r="R77" s="89" vm="659">
        <f ca="1"/>
        <v>45894</v>
      </c>
      <c r="S77" s="89" vm="664">
        <f ca="1"/>
        <v>26.92</v>
      </c>
      <c r="T77" s="90">
        <f t="shared" ca="1" si="12"/>
        <v>-5.7752887644382134E-2</v>
      </c>
      <c r="V77" vm="659">
        <f ca="1"/>
        <v>45894</v>
      </c>
      <c r="W77" vm="665">
        <f ca="1"/>
        <v>55.04</v>
      </c>
      <c r="X77" s="51">
        <f t="shared" ca="1" si="13"/>
        <v>-1.9943019943019946E-2</v>
      </c>
      <c r="Z77" vm="659">
        <f ca="1"/>
        <v>45894</v>
      </c>
      <c r="AA77" vm="666">
        <f ca="1"/>
        <v>593.08000000000004</v>
      </c>
      <c r="AB77" s="51">
        <f t="shared" ca="1" si="14"/>
        <v>-2.1914667655631437E-4</v>
      </c>
      <c r="AD77" vm="659">
        <f ca="1"/>
        <v>45894</v>
      </c>
      <c r="AE77" vm="667">
        <f ca="1"/>
        <v>42718.47</v>
      </c>
      <c r="AF77" s="51">
        <f t="shared" ca="1" si="15"/>
        <v>1.9979691926192977E-3</v>
      </c>
    </row>
    <row r="78" spans="2:32">
      <c r="B78" s="89" vm="668">
        <f ca="1"/>
        <v>45901</v>
      </c>
      <c r="C78" s="89" vm="669">
        <f ca="1"/>
        <v>175.7</v>
      </c>
      <c r="D78" s="90">
        <f t="shared" ca="1" si="8"/>
        <v>5.6206792906522418E-2</v>
      </c>
      <c r="F78" s="89" vm="668">
        <f ca="1"/>
        <v>45901</v>
      </c>
      <c r="G78" s="89" vm="670">
        <f ca="1"/>
        <v>63.37</v>
      </c>
      <c r="H78" s="90">
        <f t="shared" ca="1" si="9"/>
        <v>-4.620710415412399E-2</v>
      </c>
      <c r="J78" s="89" vm="668">
        <f ca="1"/>
        <v>45901</v>
      </c>
      <c r="K78" s="89" vm="671">
        <f ca="1"/>
        <v>19.715</v>
      </c>
      <c r="L78" s="90">
        <f t="shared" ca="1" si="10"/>
        <v>-8.2596556537924526E-2</v>
      </c>
      <c r="N78" s="89" vm="672">
        <f ca="1"/>
        <v>45902</v>
      </c>
      <c r="O78" s="89" vm="654">
        <f ca="1"/>
        <v>5.14</v>
      </c>
      <c r="P78" s="92">
        <f t="shared" ca="1" si="11"/>
        <v>2.8000000000000025E-2</v>
      </c>
      <c r="R78" s="89" vm="672">
        <f ca="1"/>
        <v>45902</v>
      </c>
      <c r="S78" s="89" vm="673">
        <f ca="1"/>
        <v>27.38</v>
      </c>
      <c r="T78" s="90">
        <f t="shared" ca="1" si="12"/>
        <v>1.7087667161961306E-2</v>
      </c>
      <c r="V78" vm="668">
        <f ca="1"/>
        <v>45901</v>
      </c>
      <c r="W78" vm="674">
        <f ca="1"/>
        <v>54.96</v>
      </c>
      <c r="X78" s="51">
        <f t="shared" ca="1" si="13"/>
        <v>-1.4534883720930258E-3</v>
      </c>
      <c r="Z78" vm="672">
        <f ca="1"/>
        <v>45902</v>
      </c>
      <c r="AA78" vm="675">
        <f ca="1"/>
        <v>594.96</v>
      </c>
      <c r="AB78" s="51">
        <f t="shared" ca="1" si="14"/>
        <v>3.1698927632022311E-3</v>
      </c>
      <c r="AD78" vm="668">
        <f ca="1"/>
        <v>45901</v>
      </c>
      <c r="AE78" vm="676">
        <f ca="1"/>
        <v>43018.75</v>
      </c>
      <c r="AF78" s="51">
        <f t="shared" ca="1" si="15"/>
        <v>7.0292779680545259E-3</v>
      </c>
    </row>
    <row r="79" spans="2:32">
      <c r="B79" s="89" vm="677">
        <f ca="1"/>
        <v>45908</v>
      </c>
      <c r="C79" s="89" vm="678">
        <f ca="1"/>
        <v>177</v>
      </c>
      <c r="D79" s="90">
        <f t="shared" ca="1" si="8"/>
        <v>7.3989755264656232E-3</v>
      </c>
      <c r="F79" s="89" vm="677">
        <f ca="1"/>
        <v>45908</v>
      </c>
      <c r="G79" s="89" vm="679">
        <f ca="1"/>
        <v>61.77</v>
      </c>
      <c r="H79" s="90">
        <f t="shared" ca="1" si="9"/>
        <v>-2.524854031876278E-2</v>
      </c>
      <c r="J79" s="89" vm="677">
        <f ca="1"/>
        <v>45908</v>
      </c>
      <c r="K79" s="89" vm="680">
        <f ca="1"/>
        <v>19</v>
      </c>
      <c r="L79" s="90">
        <f t="shared" ca="1" si="10"/>
        <v>-3.6266801927466341E-2</v>
      </c>
      <c r="N79" s="89" vm="677">
        <f ca="1"/>
        <v>45908</v>
      </c>
      <c r="O79" s="89" vm="681">
        <f ca="1"/>
        <v>4.8499999999999996</v>
      </c>
      <c r="P79" s="92">
        <f t="shared" ca="1" si="11"/>
        <v>-5.6420233463035041E-2</v>
      </c>
      <c r="R79" s="89" vm="677">
        <f ca="1"/>
        <v>45908</v>
      </c>
      <c r="S79" s="89" vm="682">
        <f ca="1"/>
        <v>28.2</v>
      </c>
      <c r="T79" s="90">
        <f t="shared" ca="1" si="12"/>
        <v>2.9948867786705691E-2</v>
      </c>
      <c r="V79" vm="677">
        <f ca="1"/>
        <v>45908</v>
      </c>
      <c r="W79" vm="683">
        <f ca="1"/>
        <v>55.49</v>
      </c>
      <c r="X79" s="51">
        <f t="shared" ca="1" si="13"/>
        <v>9.6433770014556774E-3</v>
      </c>
      <c r="Z79" vm="677">
        <f ca="1"/>
        <v>45908</v>
      </c>
      <c r="AA79" vm="684">
        <f ca="1"/>
        <v>604.44000000000005</v>
      </c>
      <c r="AB79" s="51">
        <f t="shared" ca="1" si="14"/>
        <v>1.5933844292053356E-2</v>
      </c>
      <c r="AD79" vm="677">
        <f ca="1"/>
        <v>45908</v>
      </c>
      <c r="AE79" vm="685">
        <f ca="1"/>
        <v>44768.12</v>
      </c>
      <c r="AF79" s="51">
        <f t="shared" ca="1" si="15"/>
        <v>4.0665291297399486E-2</v>
      </c>
    </row>
    <row r="80" spans="2:32">
      <c r="B80" s="89" vm="686">
        <f ca="1"/>
        <v>45915</v>
      </c>
      <c r="C80" s="89" vm="687">
        <f ca="1"/>
        <v>179.35</v>
      </c>
      <c r="D80" s="90">
        <f t="shared" ca="1" si="8"/>
        <v>1.3276836158192085E-2</v>
      </c>
      <c r="F80" s="89" vm="686">
        <f ca="1"/>
        <v>45915</v>
      </c>
      <c r="G80" s="89" vm="688">
        <f ca="1"/>
        <v>60.46</v>
      </c>
      <c r="H80" s="90">
        <f t="shared" ca="1" si="9"/>
        <v>-2.120770600615185E-2</v>
      </c>
      <c r="J80" s="89" vm="686">
        <f ca="1"/>
        <v>45915</v>
      </c>
      <c r="K80" s="89" vm="689">
        <f ca="1"/>
        <v>21.6</v>
      </c>
      <c r="L80" s="90">
        <f t="shared" ca="1" si="10"/>
        <v>0.13684210526315788</v>
      </c>
      <c r="N80" s="89" vm="686">
        <f ca="1"/>
        <v>45915</v>
      </c>
      <c r="O80" s="89" vm="690">
        <f ca="1"/>
        <v>4.83</v>
      </c>
      <c r="P80" s="92">
        <f t="shared" ca="1" si="11"/>
        <v>-4.1237113402060599E-3</v>
      </c>
      <c r="R80" s="89" vm="686">
        <f ca="1"/>
        <v>45915</v>
      </c>
      <c r="S80" s="89" vm="691">
        <f ca="1"/>
        <v>26.326000000000001</v>
      </c>
      <c r="T80" s="90">
        <f t="shared" ca="1" si="12"/>
        <v>-6.645390070921986E-2</v>
      </c>
      <c r="V80" vm="686">
        <f ca="1"/>
        <v>45915</v>
      </c>
      <c r="W80" vm="445">
        <f ca="1"/>
        <v>54.92</v>
      </c>
      <c r="X80" s="51">
        <f t="shared" ca="1" si="13"/>
        <v>-1.0272121102901433E-2</v>
      </c>
      <c r="Z80" vm="686">
        <f ca="1"/>
        <v>45915</v>
      </c>
      <c r="AA80" vm="692">
        <f ca="1"/>
        <v>611.78</v>
      </c>
      <c r="AB80" s="51">
        <f t="shared" ca="1" si="14"/>
        <v>1.2143471643173642E-2</v>
      </c>
      <c r="AD80" vm="693">
        <f ca="1"/>
        <v>45916</v>
      </c>
      <c r="AE80" vm="694">
        <f ca="1"/>
        <v>45045.81</v>
      </c>
      <c r="AF80" s="51">
        <f t="shared" ca="1" si="15"/>
        <v>6.202851493428696E-3</v>
      </c>
    </row>
    <row r="81" spans="2:32">
      <c r="B81" s="89" vm="695">
        <f ca="1"/>
        <v>45922</v>
      </c>
      <c r="C81" s="89" vm="696">
        <f ca="1"/>
        <v>180.3</v>
      </c>
      <c r="D81" s="90">
        <f t="shared" ca="1" si="8"/>
        <v>5.2969054920546377E-3</v>
      </c>
      <c r="F81" s="89" vm="695">
        <f ca="1"/>
        <v>45922</v>
      </c>
      <c r="G81" s="89" vm="697">
        <f ca="1"/>
        <v>58.45</v>
      </c>
      <c r="H81" s="90">
        <f t="shared" ca="1" si="9"/>
        <v>-3.3245120740985734E-2</v>
      </c>
      <c r="J81" s="89" vm="695">
        <f ca="1"/>
        <v>45922</v>
      </c>
      <c r="K81" s="89" vm="494">
        <f ca="1"/>
        <v>20.62</v>
      </c>
      <c r="L81" s="90">
        <f t="shared" ca="1" si="10"/>
        <v>-4.5370370370370394E-2</v>
      </c>
      <c r="N81" s="89" vm="695">
        <f ca="1"/>
        <v>45922</v>
      </c>
      <c r="O81" s="89" vm="698">
        <f ca="1"/>
        <v>4.97</v>
      </c>
      <c r="P81" s="92">
        <f t="shared" ca="1" si="11"/>
        <v>2.8985507246376718E-2</v>
      </c>
      <c r="R81" s="89" vm="695">
        <f ca="1"/>
        <v>45922</v>
      </c>
      <c r="S81" s="89" vm="699">
        <f ca="1"/>
        <v>26.24</v>
      </c>
      <c r="T81" s="90">
        <f t="shared" ca="1" si="12"/>
        <v>-3.2667325077870846E-3</v>
      </c>
      <c r="V81" vm="695">
        <f ca="1"/>
        <v>45922</v>
      </c>
      <c r="W81" vm="556">
        <f ca="1"/>
        <v>54.95</v>
      </c>
      <c r="X81" s="51">
        <f t="shared" ca="1" si="13"/>
        <v>5.4624908958489371E-4</v>
      </c>
      <c r="Z81" vm="695">
        <f ca="1"/>
        <v>45922</v>
      </c>
      <c r="AA81" vm="700">
        <f ca="1"/>
        <v>610.16</v>
      </c>
      <c r="AB81" s="51">
        <f t="shared" ca="1" si="14"/>
        <v>-2.6480107228088468E-3</v>
      </c>
      <c r="AD81" vm="695">
        <f ca="1"/>
        <v>45922</v>
      </c>
      <c r="AE81" vm="701">
        <f ca="1"/>
        <v>45354.99</v>
      </c>
      <c r="AF81" s="51">
        <f t="shared" ca="1" si="15"/>
        <v>6.8636794409957513E-3</v>
      </c>
    </row>
    <row r="82" spans="2:32">
      <c r="B82" s="89" vm="702">
        <f ca="1"/>
        <v>45929</v>
      </c>
      <c r="C82" s="89" vm="703">
        <f ca="1"/>
        <v>187.6</v>
      </c>
      <c r="D82" s="90">
        <f t="shared" ca="1" si="8"/>
        <v>4.0488075429839121E-2</v>
      </c>
      <c r="F82" s="89" vm="702">
        <f ca="1"/>
        <v>45929</v>
      </c>
      <c r="G82" s="89" vm="704">
        <f ca="1"/>
        <v>61.82</v>
      </c>
      <c r="H82" s="90">
        <f t="shared" ca="1" si="9"/>
        <v>5.7656116338751007E-2</v>
      </c>
      <c r="J82" s="89" vm="702">
        <f ca="1"/>
        <v>45929</v>
      </c>
      <c r="K82" s="89" vm="705">
        <f ca="1"/>
        <v>21.47</v>
      </c>
      <c r="L82" s="90">
        <f t="shared" ca="1" si="10"/>
        <v>4.1222114451988201E-2</v>
      </c>
      <c r="N82" s="89" vm="702">
        <f ca="1"/>
        <v>45929</v>
      </c>
      <c r="O82" s="89" vm="706">
        <f ca="1"/>
        <v>5.05</v>
      </c>
      <c r="P82" s="92">
        <f t="shared" ca="1" si="11"/>
        <v>1.6096579476861272E-2</v>
      </c>
      <c r="R82" s="89" vm="702">
        <f ca="1"/>
        <v>45929</v>
      </c>
      <c r="S82" s="89" vm="707">
        <f ca="1"/>
        <v>25.975000000000001</v>
      </c>
      <c r="T82" s="90">
        <f t="shared" ca="1" si="12"/>
        <v>-1.0099085365853577E-2</v>
      </c>
      <c r="V82" vm="702">
        <f ca="1"/>
        <v>45929</v>
      </c>
      <c r="W82" vm="708">
        <f ca="1"/>
        <v>56.53</v>
      </c>
      <c r="X82" s="51">
        <f t="shared" ca="1" si="13"/>
        <v>2.8753412192902505E-2</v>
      </c>
      <c r="Z82" vm="702">
        <f ca="1"/>
        <v>45929</v>
      </c>
      <c r="AA82" vm="709">
        <f ca="1"/>
        <v>615.29999999999995</v>
      </c>
      <c r="AB82" s="51">
        <f t="shared" ca="1" si="14"/>
        <v>8.4240199291989448E-3</v>
      </c>
      <c r="AD82" vm="702">
        <f ca="1"/>
        <v>45929</v>
      </c>
      <c r="AE82" vm="710">
        <f ca="1"/>
        <v>45769.5</v>
      </c>
      <c r="AF82" s="51">
        <f t="shared" ca="1" si="15"/>
        <v>9.1392369395297823E-3</v>
      </c>
    </row>
    <row r="83" spans="2:32">
      <c r="B83" s="89" vm="711">
        <f ca="1"/>
        <v>45936</v>
      </c>
      <c r="C83" s="89" vm="712">
        <f ca="1"/>
        <v>187.5</v>
      </c>
      <c r="D83" s="90">
        <f t="shared" ca="1" si="8"/>
        <v>-5.3304904051165725E-4</v>
      </c>
      <c r="F83" s="89" vm="711">
        <f ca="1"/>
        <v>45936</v>
      </c>
      <c r="G83" s="89" vm="713">
        <f ca="1"/>
        <v>56.86</v>
      </c>
      <c r="H83" s="90">
        <f t="shared" ca="1" si="9"/>
        <v>-8.0232934325461081E-2</v>
      </c>
      <c r="J83" s="89" vm="711">
        <f ca="1"/>
        <v>45936</v>
      </c>
      <c r="K83" s="89" vm="714">
        <f ca="1"/>
        <v>21.64</v>
      </c>
      <c r="L83" s="90">
        <f t="shared" ca="1" si="10"/>
        <v>7.9180251513741862E-3</v>
      </c>
      <c r="N83" s="89" vm="711">
        <f ca="1"/>
        <v>45936</v>
      </c>
      <c r="O83" s="89" vm="715">
        <f ca="1"/>
        <v>4.75</v>
      </c>
      <c r="P83" s="92">
        <f t="shared" ca="1" si="11"/>
        <v>-5.9405940594059348E-2</v>
      </c>
      <c r="R83" s="89" vm="711">
        <f ca="1"/>
        <v>45936</v>
      </c>
      <c r="S83" s="89" vm="716">
        <f ca="1"/>
        <v>24.22</v>
      </c>
      <c r="T83" s="90">
        <f t="shared" ca="1" si="12"/>
        <v>-6.7564966313763297E-2</v>
      </c>
      <c r="V83" vm="711">
        <f ca="1"/>
        <v>45936</v>
      </c>
      <c r="W83" vm="717">
        <f ca="1"/>
        <v>55.88</v>
      </c>
      <c r="X83" s="51">
        <f t="shared" ca="1" si="13"/>
        <v>-1.1498319476384244E-2</v>
      </c>
      <c r="Z83" vm="711">
        <f ca="1"/>
        <v>45936</v>
      </c>
      <c r="AA83" vm="718">
        <f ca="1"/>
        <v>600.51</v>
      </c>
      <c r="AB83" s="51">
        <f t="shared" ca="1" si="14"/>
        <v>-2.4037055095075477E-2</v>
      </c>
      <c r="AD83" vm="711">
        <f ca="1"/>
        <v>45936</v>
      </c>
      <c r="AE83" vm="719">
        <f ca="1"/>
        <v>48088.800000000003</v>
      </c>
      <c r="AF83" s="51">
        <f t="shared" ca="1" si="15"/>
        <v>5.06734834332907E-2</v>
      </c>
    </row>
    <row r="84" spans="2:32">
      <c r="B84" s="89" vm="720">
        <f ca="1"/>
        <v>45943</v>
      </c>
      <c r="C84" s="89" vm="721">
        <f ca="1"/>
        <v>191.4</v>
      </c>
      <c r="D84" s="90">
        <f t="shared" ca="1" si="8"/>
        <v>2.079999999999993E-2</v>
      </c>
      <c r="F84" s="89" vm="720">
        <f ca="1"/>
        <v>45943</v>
      </c>
      <c r="G84" s="89" vm="722">
        <f ca="1"/>
        <v>57.77</v>
      </c>
      <c r="H84" s="90">
        <f t="shared" ca="1" si="9"/>
        <v>1.6004220893422572E-2</v>
      </c>
      <c r="J84" s="89" vm="720">
        <f ca="1"/>
        <v>45943</v>
      </c>
      <c r="K84" s="89" vm="723">
        <f ca="1"/>
        <v>21.13</v>
      </c>
      <c r="L84" s="90">
        <f t="shared" ca="1" si="10"/>
        <v>-2.35674676524954E-2</v>
      </c>
      <c r="N84" s="89" vm="720">
        <f ca="1"/>
        <v>45943</v>
      </c>
      <c r="O84" s="89" vm="724">
        <f ca="1"/>
        <v>4.78</v>
      </c>
      <c r="P84" s="92">
        <f t="shared" ca="1" si="11"/>
        <v>6.3157894736842746E-3</v>
      </c>
      <c r="R84" s="89" vm="720">
        <f ca="1"/>
        <v>45943</v>
      </c>
      <c r="S84" s="89" vm="725">
        <f ca="1"/>
        <v>24.66</v>
      </c>
      <c r="T84" s="90">
        <f t="shared" ca="1" si="12"/>
        <v>1.8166804293971994E-2</v>
      </c>
      <c r="V84" vm="720">
        <f ca="1"/>
        <v>45943</v>
      </c>
      <c r="W84" vm="726">
        <f ca="1"/>
        <v>56.14</v>
      </c>
      <c r="X84" s="51">
        <f t="shared" ca="1" si="13"/>
        <v>4.6528274874730879E-3</v>
      </c>
      <c r="Z84" vm="720">
        <f ca="1"/>
        <v>45943</v>
      </c>
      <c r="AA84" vm="727">
        <f ca="1"/>
        <v>610.76</v>
      </c>
      <c r="AB84" s="51">
        <f t="shared" ca="1" si="14"/>
        <v>1.7068824832225937E-2</v>
      </c>
      <c r="AD84" vm="728">
        <f ca="1"/>
        <v>45944</v>
      </c>
      <c r="AE84" vm="729">
        <f ca="1"/>
        <v>47582.15</v>
      </c>
      <c r="AF84" s="51">
        <f t="shared" ca="1" si="15"/>
        <v>-1.0535717256409005E-2</v>
      </c>
    </row>
    <row r="85" spans="2:32">
      <c r="B85" s="89" vm="730">
        <f ca="1"/>
        <v>45950</v>
      </c>
      <c r="C85" s="89" vm="731">
        <f ca="1"/>
        <v>187.4</v>
      </c>
      <c r="D85" s="90">
        <f t="shared" ca="1" si="8"/>
        <v>-2.0898641588296796E-2</v>
      </c>
      <c r="F85" s="89" vm="730">
        <f ca="1"/>
        <v>45950</v>
      </c>
      <c r="G85" s="89" vm="732">
        <f ca="1"/>
        <v>59.73</v>
      </c>
      <c r="H85" s="90">
        <f t="shared" ca="1" si="9"/>
        <v>3.3927644105937294E-2</v>
      </c>
      <c r="J85" s="89" vm="730">
        <f ca="1"/>
        <v>45950</v>
      </c>
      <c r="K85" s="89" vm="539">
        <f ca="1"/>
        <v>22.03</v>
      </c>
      <c r="L85" s="90">
        <f t="shared" ca="1" si="10"/>
        <v>4.2593469001419804E-2</v>
      </c>
      <c r="N85" s="89" vm="730">
        <f ca="1"/>
        <v>45950</v>
      </c>
      <c r="O85" s="89" vm="733">
        <f ca="1"/>
        <v>4.8099999999999996</v>
      </c>
      <c r="P85" s="92">
        <f t="shared" ca="1" si="11"/>
        <v>6.2761506276149959E-3</v>
      </c>
      <c r="R85" s="89" vm="730">
        <f ca="1"/>
        <v>45950</v>
      </c>
      <c r="S85" s="89" vm="734">
        <f ca="1"/>
        <v>26.07</v>
      </c>
      <c r="T85" s="90">
        <f t="shared" ca="1" si="12"/>
        <v>5.7177615571776252E-2</v>
      </c>
      <c r="V85" vm="730">
        <f ca="1"/>
        <v>45950</v>
      </c>
      <c r="W85" vm="735">
        <f ca="1"/>
        <v>57.08</v>
      </c>
      <c r="X85" s="51">
        <f t="shared" ca="1" si="13"/>
        <v>1.674385464909145E-2</v>
      </c>
      <c r="Z85" vm="730">
        <f ca="1"/>
        <v>45950</v>
      </c>
      <c r="AA85" vm="736">
        <f ca="1"/>
        <v>622.54999999999995</v>
      </c>
      <c r="AB85" s="51">
        <f t="shared" ca="1" si="14"/>
        <v>1.930381819372573E-2</v>
      </c>
      <c r="AD85" vm="730">
        <f ca="1"/>
        <v>45950</v>
      </c>
      <c r="AE85" vm="737">
        <f ca="1"/>
        <v>49299.65</v>
      </c>
      <c r="AF85" s="51">
        <f t="shared" ca="1" si="15"/>
        <v>3.6095468573824396E-2</v>
      </c>
    </row>
    <row r="86" spans="2:32">
      <c r="B86" s="89" vm="738">
        <f ca="1"/>
        <v>45957</v>
      </c>
      <c r="C86" s="89" vm="739">
        <f ca="1"/>
        <v>163.80000000000001</v>
      </c>
      <c r="D86" s="90">
        <f t="shared" ca="1" si="8"/>
        <v>-0.1259338313767342</v>
      </c>
      <c r="F86" s="89" vm="738">
        <f ca="1"/>
        <v>45957</v>
      </c>
      <c r="G86" s="89" vm="740">
        <f ca="1"/>
        <v>56.11</v>
      </c>
      <c r="H86" s="90">
        <f t="shared" ca="1" si="9"/>
        <v>-6.0606060606060552E-2</v>
      </c>
      <c r="J86" s="89" vm="738">
        <f ca="1"/>
        <v>45957</v>
      </c>
      <c r="K86" s="89" vm="741">
        <f ca="1"/>
        <v>18.420000000000002</v>
      </c>
      <c r="L86" s="90">
        <f t="shared" ca="1" si="10"/>
        <v>-0.16386745347253739</v>
      </c>
      <c r="N86" s="89" vm="738">
        <f ca="1"/>
        <v>45957</v>
      </c>
      <c r="O86" s="89" vm="742">
        <f ca="1"/>
        <v>4.6100000000000003</v>
      </c>
      <c r="P86" s="92">
        <f t="shared" ca="1" si="11"/>
        <v>-4.1580041580041471E-2</v>
      </c>
      <c r="R86" s="89" vm="738">
        <f ca="1"/>
        <v>45957</v>
      </c>
      <c r="S86" s="89" vm="743">
        <f ca="1"/>
        <v>25.484000000000002</v>
      </c>
      <c r="T86" s="90">
        <f t="shared" ca="1" si="12"/>
        <v>-2.247794399693126E-2</v>
      </c>
      <c r="V86" vm="738">
        <f ca="1"/>
        <v>45957</v>
      </c>
      <c r="W86" vm="744">
        <f ca="1"/>
        <v>56.77</v>
      </c>
      <c r="X86" s="51">
        <f t="shared" ca="1" si="13"/>
        <v>-5.4309740714785226E-3</v>
      </c>
      <c r="Z86" vm="738">
        <f ca="1"/>
        <v>45957</v>
      </c>
      <c r="AA86" vm="745">
        <f ca="1"/>
        <v>627.04</v>
      </c>
      <c r="AB86" s="51">
        <f t="shared" ca="1" si="14"/>
        <v>7.2122721066580908E-3</v>
      </c>
      <c r="AD86" vm="738">
        <f ca="1"/>
        <v>45957</v>
      </c>
      <c r="AE86" vm="746">
        <f ca="1"/>
        <v>52411.34</v>
      </c>
      <c r="AF86" s="51">
        <f t="shared" ca="1" si="15"/>
        <v>6.3117892317693824E-2</v>
      </c>
    </row>
    <row r="87" spans="2:32">
      <c r="B87" s="89" vm="747">
        <f ca="1"/>
        <v>45964</v>
      </c>
      <c r="C87" s="89" vm="748">
        <f ca="1"/>
        <v>157.55000000000001</v>
      </c>
      <c r="D87" s="90">
        <f t="shared" ca="1" si="8"/>
        <v>-3.8156288156288132E-2</v>
      </c>
      <c r="F87" s="89" vm="747">
        <f ca="1"/>
        <v>45964</v>
      </c>
      <c r="G87" s="89" vm="749">
        <f ca="1"/>
        <v>52.59</v>
      </c>
      <c r="H87" s="90">
        <f t="shared" ca="1" si="9"/>
        <v>-6.2733915523079609E-2</v>
      </c>
      <c r="J87" s="89" vm="747">
        <f ca="1"/>
        <v>45964</v>
      </c>
      <c r="K87" s="89" vm="750">
        <f ca="1"/>
        <v>15.875</v>
      </c>
      <c r="L87" s="90">
        <f t="shared" ca="1" si="10"/>
        <v>-0.13816503800217161</v>
      </c>
      <c r="N87" s="89" vm="747">
        <f ca="1"/>
        <v>45964</v>
      </c>
      <c r="O87" s="89" vm="751">
        <f ca="1"/>
        <v>4.66</v>
      </c>
      <c r="P87" s="92">
        <f t="shared" ca="1" si="11"/>
        <v>1.0845986984815648E-2</v>
      </c>
      <c r="R87" s="89" vm="747">
        <f ca="1"/>
        <v>45964</v>
      </c>
      <c r="S87" s="89" vm="752">
        <f ca="1"/>
        <v>24.29</v>
      </c>
      <c r="T87" s="90">
        <f t="shared" ca="1" si="12"/>
        <v>-4.6852927326950344E-2</v>
      </c>
      <c r="V87" vm="747">
        <f ca="1"/>
        <v>45964</v>
      </c>
      <c r="W87" vm="753">
        <f ca="1"/>
        <v>56.04</v>
      </c>
      <c r="X87" s="51">
        <f t="shared" ca="1" si="13"/>
        <v>-1.2858904350889655E-2</v>
      </c>
      <c r="Z87" vm="747">
        <f ca="1"/>
        <v>45964</v>
      </c>
      <c r="AA87" vm="754">
        <f ca="1"/>
        <v>616.89</v>
      </c>
      <c r="AB87" s="51">
        <f t="shared" ca="1" si="14"/>
        <v>-1.6187165093136002E-2</v>
      </c>
      <c r="AD87" vm="755">
        <f ca="1"/>
        <v>45965</v>
      </c>
      <c r="AE87" vm="756">
        <f ca="1"/>
        <v>50276.37</v>
      </c>
      <c r="AF87" s="51">
        <f t="shared" ca="1" si="15"/>
        <v>-4.0734886763055367E-2</v>
      </c>
    </row>
    <row r="88" spans="2:32">
      <c r="B88" s="89" vm="757">
        <f ca="1"/>
        <v>45971</v>
      </c>
      <c r="C88" s="89" vm="758">
        <f ca="1"/>
        <v>161.65</v>
      </c>
      <c r="D88" s="90">
        <f t="shared" ca="1" si="8"/>
        <v>2.6023484608060921E-2</v>
      </c>
      <c r="F88" s="89" vm="757">
        <f ca="1"/>
        <v>45971</v>
      </c>
      <c r="G88" s="89" vm="759">
        <f ca="1"/>
        <v>55.46</v>
      </c>
      <c r="H88" s="90">
        <f t="shared" ca="1" si="9"/>
        <v>5.4573112759079612E-2</v>
      </c>
      <c r="J88" s="89" vm="757">
        <f ca="1"/>
        <v>45971</v>
      </c>
      <c r="K88" s="89" vm="760">
        <f ca="1"/>
        <v>16.285</v>
      </c>
      <c r="L88" s="90">
        <f t="shared" ca="1" si="10"/>
        <v>2.5826771653543412E-2</v>
      </c>
      <c r="N88" s="89" vm="757">
        <f ca="1"/>
        <v>45971</v>
      </c>
      <c r="O88" s="89" vm="761">
        <f ca="1"/>
        <v>4.53</v>
      </c>
      <c r="P88" s="92">
        <f t="shared" ca="1" si="11"/>
        <v>-2.7896995708154515E-2</v>
      </c>
      <c r="R88" s="89" vm="757">
        <f ca="1"/>
        <v>45971</v>
      </c>
      <c r="S88" s="89" vm="762">
        <f ca="1"/>
        <v>24.53</v>
      </c>
      <c r="T88" s="90">
        <f t="shared" ca="1" si="12"/>
        <v>9.8806093042405063E-3</v>
      </c>
      <c r="V88" vm="757">
        <f ca="1"/>
        <v>45971</v>
      </c>
      <c r="W88" vm="763">
        <f ca="1"/>
        <v>57.09</v>
      </c>
      <c r="X88" s="51">
        <f t="shared" ca="1" si="13"/>
        <v>1.8736616702355491E-2</v>
      </c>
      <c r="Z88" vm="757">
        <f ca="1"/>
        <v>45971</v>
      </c>
      <c r="AA88" vm="764">
        <f ca="1"/>
        <v>617.83000000000004</v>
      </c>
      <c r="AB88" s="51">
        <f t="shared" ca="1" si="14"/>
        <v>1.5237724715915224E-3</v>
      </c>
      <c r="AD88" vm="757">
        <f ca="1"/>
        <v>45971</v>
      </c>
      <c r="AE88" vm="765">
        <f ca="1"/>
        <v>50376.53</v>
      </c>
      <c r="AF88" s="51">
        <f t="shared" ca="1" si="15"/>
        <v>1.9921883779596694E-3</v>
      </c>
    </row>
    <row r="89" spans="2:32">
      <c r="B89" s="89" vm="766">
        <f ca="1"/>
        <v>45978</v>
      </c>
      <c r="C89" s="89" vm="767">
        <f ca="1"/>
        <v>151.6</v>
      </c>
      <c r="D89" s="90">
        <f t="shared" ca="1" si="8"/>
        <v>-6.2171357871945609E-2</v>
      </c>
      <c r="F89" s="89" vm="766">
        <f ca="1"/>
        <v>45978</v>
      </c>
      <c r="G89" s="89" vm="768">
        <f ca="1"/>
        <v>54.29</v>
      </c>
      <c r="H89" s="90">
        <f t="shared" ca="1" si="9"/>
        <v>-2.1096285611251431E-2</v>
      </c>
      <c r="J89" s="89" vm="766">
        <f ca="1"/>
        <v>45978</v>
      </c>
      <c r="K89" s="89" vm="769">
        <f ca="1"/>
        <v>15.63</v>
      </c>
      <c r="L89" s="90">
        <f t="shared" ca="1" si="10"/>
        <v>-4.0221062327295054E-2</v>
      </c>
      <c r="N89" s="89" vm="766">
        <f ca="1"/>
        <v>45978</v>
      </c>
      <c r="O89" s="89" vm="770">
        <f ca="1"/>
        <v>4.28</v>
      </c>
      <c r="P89" s="92">
        <f t="shared" ca="1" si="11"/>
        <v>-5.5187637969094872E-2</v>
      </c>
      <c r="R89" s="89" vm="766">
        <f ca="1"/>
        <v>45978</v>
      </c>
      <c r="S89" s="89" vm="771">
        <f ca="1"/>
        <v>24.05</v>
      </c>
      <c r="T89" s="90">
        <f t="shared" ca="1" si="12"/>
        <v>-1.9567876070118229E-2</v>
      </c>
      <c r="V89" vm="766">
        <f ca="1"/>
        <v>45978</v>
      </c>
      <c r="W89" vm="772">
        <f ca="1"/>
        <v>55.8</v>
      </c>
      <c r="X89" s="51">
        <f t="shared" ca="1" si="13"/>
        <v>-2.2595901208618097E-2</v>
      </c>
      <c r="Z89" vm="766">
        <f ca="1"/>
        <v>45978</v>
      </c>
      <c r="AA89" vm="773">
        <f ca="1"/>
        <v>605.92999999999995</v>
      </c>
      <c r="AB89" s="51">
        <f t="shared" ca="1" si="14"/>
        <v>-1.9260961753233219E-2</v>
      </c>
      <c r="AD89" vm="766">
        <f ca="1"/>
        <v>45978</v>
      </c>
      <c r="AE89" vm="774">
        <f ca="1"/>
        <v>48625.88</v>
      </c>
      <c r="AF89" s="51">
        <f t="shared" ca="1" si="15"/>
        <v>-3.475130184631614E-2</v>
      </c>
    </row>
    <row r="90" spans="2:32">
      <c r="B90" s="89" vm="775">
        <f ca="1"/>
        <v>45985</v>
      </c>
      <c r="C90" s="89" vm="776">
        <f ca="1"/>
        <v>160.4</v>
      </c>
      <c r="D90" s="90">
        <f t="shared" ca="1" si="8"/>
        <v>5.8047493403694084E-2</v>
      </c>
      <c r="F90" s="89" vm="775">
        <f ca="1"/>
        <v>45985</v>
      </c>
      <c r="G90" s="89" vm="777">
        <f ca="1"/>
        <v>55.78</v>
      </c>
      <c r="H90" s="90">
        <f t="shared" ca="1" si="9"/>
        <v>2.7445201694603183E-2</v>
      </c>
      <c r="J90" s="89" vm="775">
        <f ca="1"/>
        <v>45985</v>
      </c>
      <c r="K90" s="89" vm="778">
        <f ca="1"/>
        <v>19.95</v>
      </c>
      <c r="L90" s="90">
        <f t="shared" ca="1" si="10"/>
        <v>0.2763915547024951</v>
      </c>
      <c r="N90" s="89" vm="775">
        <f ca="1"/>
        <v>45985</v>
      </c>
      <c r="O90" s="89" vm="779">
        <f ca="1"/>
        <v>4.62</v>
      </c>
      <c r="P90" s="92">
        <f t="shared" ca="1" si="11"/>
        <v>7.9439252336448662E-2</v>
      </c>
      <c r="R90" s="89" vm="775">
        <f ca="1"/>
        <v>45985</v>
      </c>
      <c r="S90" s="89" vm="780">
        <f ca="1"/>
        <v>24.105</v>
      </c>
      <c r="T90" s="90">
        <f t="shared" ca="1" si="12"/>
        <v>2.2869022869023148E-3</v>
      </c>
      <c r="V90" vm="775">
        <f ca="1"/>
        <v>45985</v>
      </c>
      <c r="W90" vm="781">
        <f ca="1"/>
        <v>57.24</v>
      </c>
      <c r="X90" s="51">
        <f t="shared" ca="1" si="13"/>
        <v>2.5806451612903292E-2</v>
      </c>
      <c r="Z90" vm="775">
        <f ca="1"/>
        <v>45985</v>
      </c>
      <c r="AA90" vm="782">
        <f ca="1"/>
        <v>628.41</v>
      </c>
      <c r="AB90" s="51">
        <f t="shared" ca="1" si="14"/>
        <v>3.7099995048933021E-2</v>
      </c>
      <c r="AD90" vm="783">
        <f ca="1"/>
        <v>45986</v>
      </c>
      <c r="AE90" vm="784">
        <f ca="1"/>
        <v>50253.91</v>
      </c>
      <c r="AF90" s="51">
        <f t="shared" ca="1" si="15"/>
        <v>3.3480730837159189E-2</v>
      </c>
    </row>
    <row r="91" spans="2:32">
      <c r="B91" s="89" vm="785">
        <f ca="1"/>
        <v>45992</v>
      </c>
      <c r="C91" s="89" vm="786">
        <f ca="1"/>
        <v>164.3</v>
      </c>
      <c r="D91" s="90">
        <f t="shared" ca="1" si="8"/>
        <v>2.4314214463840411E-2</v>
      </c>
      <c r="F91" s="89" vm="785">
        <f ca="1"/>
        <v>45992</v>
      </c>
      <c r="G91" s="89" vm="787">
        <f ca="1"/>
        <v>56.5</v>
      </c>
      <c r="H91" s="90">
        <f t="shared" ca="1" si="9"/>
        <v>1.2907852276801801E-2</v>
      </c>
      <c r="J91" s="89" vm="785">
        <f ca="1"/>
        <v>45992</v>
      </c>
      <c r="K91" s="89" vm="788">
        <f ca="1"/>
        <v>21.09</v>
      </c>
      <c r="L91" s="90">
        <f t="shared" ca="1" si="10"/>
        <v>5.7142857142857162E-2</v>
      </c>
      <c r="N91" s="89" vm="785">
        <f ca="1"/>
        <v>45992</v>
      </c>
      <c r="O91" s="89" vm="789">
        <f ca="1"/>
        <v>4.55</v>
      </c>
      <c r="P91" s="92">
        <f t="shared" ca="1" si="11"/>
        <v>-1.5151515151515249E-2</v>
      </c>
      <c r="R91" s="89" vm="785">
        <f ca="1"/>
        <v>45992</v>
      </c>
      <c r="S91" s="89" vm="790">
        <f ca="1"/>
        <v>23.99</v>
      </c>
      <c r="T91" s="90">
        <f t="shared" ca="1" si="12"/>
        <v>-4.7707944409873804E-3</v>
      </c>
      <c r="V91" vm="785">
        <f ca="1"/>
        <v>45992</v>
      </c>
      <c r="W91" vm="791">
        <f ca="1"/>
        <v>57.48</v>
      </c>
      <c r="X91" s="51">
        <f t="shared" ca="1" si="13"/>
        <v>4.1928721174002703E-3</v>
      </c>
      <c r="Z91" vm="785">
        <f ca="1"/>
        <v>45992</v>
      </c>
      <c r="AA91" vm="792">
        <f ca="1"/>
        <v>630.48</v>
      </c>
      <c r="AB91" s="51">
        <f t="shared" ca="1" si="14"/>
        <v>3.2940277844082377E-3</v>
      </c>
      <c r="AD91" vm="785">
        <f ca="1"/>
        <v>45992</v>
      </c>
      <c r="AE91" vm="793">
        <f ca="1"/>
        <v>50491.87</v>
      </c>
      <c r="AF91" s="51">
        <f t="shared" ca="1" si="15"/>
        <v>4.7351539412554544E-3</v>
      </c>
    </row>
    <row r="92" spans="2:32">
      <c r="B92" s="89" vm="794">
        <f ca="1"/>
        <v>45999</v>
      </c>
      <c r="C92" s="89" vm="632">
        <f ca="1"/>
        <v>167.5</v>
      </c>
      <c r="D92" s="90">
        <f t="shared" ca="1" si="8"/>
        <v>1.9476567255021227E-2</v>
      </c>
      <c r="F92" s="89" vm="794">
        <f ca="1"/>
        <v>45999</v>
      </c>
      <c r="G92" s="89" vm="795">
        <f ca="1"/>
        <v>57.61</v>
      </c>
      <c r="H92" s="90">
        <f t="shared" ca="1" si="9"/>
        <v>1.9646017699115115E-2</v>
      </c>
      <c r="J92" s="89" vm="794">
        <f ca="1"/>
        <v>45999</v>
      </c>
      <c r="K92" s="89" vm="796">
        <f ca="1"/>
        <v>21.75</v>
      </c>
      <c r="L92" s="90">
        <f t="shared" ca="1" si="10"/>
        <v>3.1294452347083945E-2</v>
      </c>
      <c r="N92" s="89" vm="794">
        <f ca="1"/>
        <v>45999</v>
      </c>
      <c r="O92" s="89" vm="797">
        <f ca="1"/>
        <v>4.33</v>
      </c>
      <c r="P92" s="92">
        <f t="shared" ca="1" si="11"/>
        <v>-4.8351648351648291E-2</v>
      </c>
      <c r="R92" s="89" vm="794">
        <f ca="1"/>
        <v>45999</v>
      </c>
      <c r="S92" s="89" vm="798">
        <f ca="1"/>
        <v>24.83</v>
      </c>
      <c r="T92" s="90">
        <f t="shared" ca="1" si="12"/>
        <v>3.5014589412255104E-2</v>
      </c>
      <c r="V92" vm="794">
        <f ca="1"/>
        <v>45999</v>
      </c>
      <c r="W92" vm="799">
        <f ca="1"/>
        <v>57.34</v>
      </c>
      <c r="X92" s="51">
        <f t="shared" ca="1" si="13"/>
        <v>-2.4356297842726971E-3</v>
      </c>
      <c r="Z92" vm="794">
        <f ca="1"/>
        <v>45999</v>
      </c>
      <c r="AA92" vm="800">
        <f ca="1"/>
        <v>626.87</v>
      </c>
      <c r="AB92" s="51">
        <f t="shared" ca="1" si="14"/>
        <v>-5.7257962187540201E-3</v>
      </c>
      <c r="AD92" vm="794">
        <f ca="1"/>
        <v>45999</v>
      </c>
      <c r="AE92" vm="801">
        <f ca="1"/>
        <v>50836.55</v>
      </c>
      <c r="AF92" s="51">
        <f t="shared" ca="1" si="15"/>
        <v>6.8264455247943889E-3</v>
      </c>
    </row>
    <row r="93" spans="2:32">
      <c r="B93" s="89" vm="802">
        <f ca="1"/>
        <v>46006</v>
      </c>
      <c r="C93" s="89" vm="803">
        <f ca="1"/>
        <v>165.1</v>
      </c>
      <c r="D93" s="90">
        <f t="shared" ca="1" si="8"/>
        <v>-1.4328358208955283E-2</v>
      </c>
      <c r="F93" s="89" vm="802">
        <f ca="1"/>
        <v>46006</v>
      </c>
      <c r="G93" s="89" vm="804">
        <f ca="1"/>
        <v>50.49</v>
      </c>
      <c r="H93" s="90">
        <f t="shared" ca="1" si="9"/>
        <v>-0.12358965457385862</v>
      </c>
      <c r="J93" s="89" vm="802">
        <f ca="1"/>
        <v>46006</v>
      </c>
      <c r="K93" s="89" vm="805">
        <f ca="1"/>
        <v>22.42</v>
      </c>
      <c r="L93" s="90">
        <f t="shared" ca="1" si="10"/>
        <v>3.0804597701149516E-2</v>
      </c>
      <c r="N93" s="89" vm="802">
        <f ca="1"/>
        <v>46006</v>
      </c>
      <c r="O93" s="89" vm="761">
        <f ca="1"/>
        <v>4.53</v>
      </c>
      <c r="P93" s="92">
        <f t="shared" ca="1" si="11"/>
        <v>4.6189376443418029E-2</v>
      </c>
      <c r="R93" s="89" vm="802">
        <f ca="1"/>
        <v>46006</v>
      </c>
      <c r="S93" s="89" vm="806">
        <f ca="1"/>
        <v>24.62</v>
      </c>
      <c r="T93" s="90">
        <f t="shared" ca="1" si="12"/>
        <v>-8.4575110753120075E-3</v>
      </c>
      <c r="V93" vm="802">
        <f ca="1"/>
        <v>46006</v>
      </c>
      <c r="W93" vm="807">
        <f ca="1"/>
        <v>58.1</v>
      </c>
      <c r="X93" s="51">
        <f t="shared" ca="1" si="13"/>
        <v>1.32542727589815E-2</v>
      </c>
      <c r="Z93" vm="802">
        <f ca="1"/>
        <v>46006</v>
      </c>
      <c r="AA93" vm="808">
        <f ca="1"/>
        <v>627.55999999999995</v>
      </c>
      <c r="AB93" s="51">
        <f t="shared" ca="1" si="14"/>
        <v>1.1007066855965864E-3</v>
      </c>
      <c r="AD93" vm="802">
        <f ca="1"/>
        <v>46006</v>
      </c>
      <c r="AE93" vm="809">
        <f ca="1"/>
        <v>49507.21</v>
      </c>
      <c r="AF93" s="51">
        <f t="shared" ca="1" si="15"/>
        <v>-2.6149296126507515E-2</v>
      </c>
    </row>
    <row r="94" spans="2:32">
      <c r="B94" s="89" vm="810">
        <f ca="1"/>
        <v>46013</v>
      </c>
      <c r="C94" s="89" vm="811">
        <f ca="1"/>
        <v>164.4</v>
      </c>
      <c r="D94" s="90">
        <f t="shared" ca="1" si="8"/>
        <v>-4.2398546335553622E-3</v>
      </c>
      <c r="F94" s="89" vm="810">
        <f ca="1"/>
        <v>46013</v>
      </c>
      <c r="G94" s="89" vm="812">
        <f ca="1"/>
        <v>48.71</v>
      </c>
      <c r="H94" s="90">
        <f t="shared" ca="1" si="9"/>
        <v>-3.5254505842741146E-2</v>
      </c>
      <c r="J94" s="89" vm="810">
        <f ca="1"/>
        <v>46013</v>
      </c>
      <c r="K94" s="89" vm="813">
        <f ca="1"/>
        <v>21.55</v>
      </c>
      <c r="L94" s="90">
        <f t="shared" ca="1" si="10"/>
        <v>-3.8804638715432715E-2</v>
      </c>
      <c r="N94" s="89" vm="810">
        <f ca="1"/>
        <v>46013</v>
      </c>
      <c r="O94" s="89" vm="814">
        <f ca="1"/>
        <v>4.6500000000000004</v>
      </c>
      <c r="P94" s="92">
        <f t="shared" ca="1" si="11"/>
        <v>2.6490066225165476E-2</v>
      </c>
      <c r="R94" s="89" vm="810">
        <f ca="1"/>
        <v>46013</v>
      </c>
      <c r="S94" s="89" vm="815">
        <f ca="1"/>
        <v>24.95</v>
      </c>
      <c r="T94" s="90">
        <f t="shared" ca="1" si="12"/>
        <v>1.340373679935003E-2</v>
      </c>
      <c r="V94" vm="810">
        <f ca="1"/>
        <v>46013</v>
      </c>
      <c r="W94" vm="816">
        <f ca="1"/>
        <v>58.21</v>
      </c>
      <c r="X94" s="51">
        <f t="shared" ca="1" si="13"/>
        <v>1.8932874354560258E-3</v>
      </c>
      <c r="Z94" vm="810">
        <f ca="1"/>
        <v>46013</v>
      </c>
      <c r="AA94" vm="817">
        <f ca="1"/>
        <v>634.84</v>
      </c>
      <c r="AB94" s="51">
        <f t="shared" ca="1" si="14"/>
        <v>1.1600484415832835E-2</v>
      </c>
      <c r="AD94" vm="810">
        <f ca="1"/>
        <v>46013</v>
      </c>
      <c r="AE94" vm="818">
        <f ca="1"/>
        <v>50750.39</v>
      </c>
      <c r="AF94" s="51">
        <f t="shared" ca="1" si="15"/>
        <v>2.5111089879635617E-2</v>
      </c>
    </row>
    <row r="95" spans="2:32">
      <c r="B95" s="89" vm="819">
        <f ca="1"/>
        <v>46020</v>
      </c>
      <c r="C95" s="89" vm="820">
        <f ca="1"/>
        <v>167.4</v>
      </c>
      <c r="D95" s="90">
        <f t="shared" ca="1" si="8"/>
        <v>1.8248175182481674E-2</v>
      </c>
      <c r="F95" s="89" vm="819">
        <f ca="1"/>
        <v>46020</v>
      </c>
      <c r="G95" s="89" vm="821">
        <f ca="1"/>
        <v>53.82</v>
      </c>
      <c r="H95" s="90">
        <f t="shared" ca="1" si="9"/>
        <v>0.10490659002258251</v>
      </c>
      <c r="J95" s="89" vm="819">
        <f ca="1"/>
        <v>46020</v>
      </c>
      <c r="K95" s="89" vm="822">
        <f ca="1"/>
        <v>22.4</v>
      </c>
      <c r="L95" s="90">
        <f t="shared" ca="1" si="10"/>
        <v>3.9443155452436152E-2</v>
      </c>
      <c r="N95" s="89" vm="819">
        <f ca="1"/>
        <v>46020</v>
      </c>
      <c r="O95" s="89" vm="823">
        <f ca="1"/>
        <v>5.29</v>
      </c>
      <c r="P95" s="92">
        <f t="shared" ca="1" si="11"/>
        <v>0.13763440860215037</v>
      </c>
      <c r="R95" s="89" vm="819">
        <f ca="1"/>
        <v>46020</v>
      </c>
      <c r="S95" s="89" vm="824">
        <f ca="1"/>
        <v>23.95</v>
      </c>
      <c r="T95" s="90">
        <f t="shared" ca="1" si="12"/>
        <v>-4.0080160320641323E-2</v>
      </c>
      <c r="V95" vm="819">
        <f ca="1"/>
        <v>46020</v>
      </c>
      <c r="W95" vm="825">
        <f ca="1"/>
        <v>59.03</v>
      </c>
      <c r="X95" s="51">
        <f t="shared" ca="1" si="13"/>
        <v>1.4086926644906406E-2</v>
      </c>
      <c r="Z95" vm="819">
        <f ca="1"/>
        <v>46020</v>
      </c>
      <c r="AA95" vm="826">
        <f ca="1"/>
        <v>628.29999999999995</v>
      </c>
      <c r="AB95" s="51">
        <f t="shared" ca="1" si="14"/>
        <v>-1.0301808329657991E-2</v>
      </c>
      <c r="AD95" vm="819">
        <f ca="1"/>
        <v>46020</v>
      </c>
      <c r="AE95" vm="827">
        <f ca="1"/>
        <v>50339.48</v>
      </c>
      <c r="AF95" s="51">
        <f t="shared" ca="1" si="15"/>
        <v>-8.0966865476304051E-3</v>
      </c>
    </row>
    <row r="96" spans="2:32">
      <c r="B96" s="89" vm="828">
        <f ca="1"/>
        <v>46027</v>
      </c>
      <c r="C96" s="89" vm="829">
        <f ca="1"/>
        <v>166.65</v>
      </c>
      <c r="D96" s="90">
        <f t="shared" ca="1" si="8"/>
        <v>-4.4802867383512135E-3</v>
      </c>
      <c r="F96" s="89" vm="828">
        <f ca="1"/>
        <v>46027</v>
      </c>
      <c r="G96" s="89" vm="830">
        <f ca="1"/>
        <v>56.63</v>
      </c>
      <c r="H96" s="90">
        <f t="shared" ca="1" si="9"/>
        <v>5.2211073950204412E-2</v>
      </c>
      <c r="J96" s="89" vm="828">
        <f ca="1"/>
        <v>46027</v>
      </c>
      <c r="K96" s="89" vm="831">
        <f ca="1"/>
        <v>23.95</v>
      </c>
      <c r="L96" s="90">
        <f t="shared" ca="1" si="10"/>
        <v>6.9196428571428603E-2</v>
      </c>
      <c r="N96" s="89" vm="828">
        <f ca="1"/>
        <v>46027</v>
      </c>
      <c r="O96" s="89" vm="832">
        <f ca="1"/>
        <v>5.64</v>
      </c>
      <c r="P96" s="92">
        <f t="shared" ca="1" si="11"/>
        <v>6.6162570888468775E-2</v>
      </c>
      <c r="R96" s="89" vm="828">
        <f ca="1"/>
        <v>46027</v>
      </c>
      <c r="S96" s="89" vm="833">
        <f ca="1"/>
        <v>26.663</v>
      </c>
      <c r="T96" s="90">
        <f t="shared" ca="1" si="12"/>
        <v>0.11327766179540721</v>
      </c>
      <c r="V96" vm="828">
        <f ca="1"/>
        <v>46027</v>
      </c>
      <c r="W96" vm="834">
        <f ca="1"/>
        <v>60.4</v>
      </c>
      <c r="X96" s="51">
        <f t="shared" ca="1" si="13"/>
        <v>2.3208538031509462E-2</v>
      </c>
      <c r="Z96" vm="828">
        <f ca="1"/>
        <v>46027</v>
      </c>
      <c r="AA96" vm="835">
        <f ca="1"/>
        <v>638.30999999999995</v>
      </c>
      <c r="AB96" s="51">
        <f t="shared" ca="1" si="14"/>
        <v>1.5931879675314287E-2</v>
      </c>
      <c r="AD96" vm="828">
        <f ca="1"/>
        <v>46027</v>
      </c>
      <c r="AE96" vm="836">
        <f ca="1"/>
        <v>51939.89</v>
      </c>
      <c r="AF96" s="51">
        <f t="shared" ca="1" si="15"/>
        <v>3.1792342709936472E-2</v>
      </c>
    </row>
    <row r="97" spans="2:32">
      <c r="B97" s="89" vm="837">
        <f ca="1"/>
        <v>46034</v>
      </c>
      <c r="C97" s="89" vm="838">
        <f ca="1"/>
        <v>159.85</v>
      </c>
      <c r="D97" s="90">
        <f t="shared" ca="1" si="8"/>
        <v>-4.0804080408040844E-2</v>
      </c>
      <c r="F97" s="89" vm="837">
        <f ca="1"/>
        <v>46034</v>
      </c>
      <c r="G97" s="89" vm="839">
        <f ca="1"/>
        <v>55.45</v>
      </c>
      <c r="H97" s="90">
        <f t="shared" ca="1" si="9"/>
        <v>-2.0837012184354631E-2</v>
      </c>
      <c r="J97" s="89" vm="837">
        <f ca="1"/>
        <v>46034</v>
      </c>
      <c r="K97" s="89" vm="608">
        <f ca="1"/>
        <v>21.91</v>
      </c>
      <c r="L97" s="90">
        <f t="shared" ca="1" si="10"/>
        <v>-8.517745302713986E-2</v>
      </c>
      <c r="N97" s="89" vm="837">
        <f ca="1"/>
        <v>46034</v>
      </c>
      <c r="O97" s="89" vm="840">
        <f ca="1"/>
        <v>5.78</v>
      </c>
      <c r="P97" s="92">
        <f t="shared" ca="1" si="11"/>
        <v>2.4822695035461084E-2</v>
      </c>
      <c r="R97" s="89" vm="837">
        <f ca="1"/>
        <v>46034</v>
      </c>
      <c r="S97" s="89" vm="841">
        <f ca="1"/>
        <v>26.19</v>
      </c>
      <c r="T97" s="90">
        <f t="shared" ca="1" si="12"/>
        <v>-1.7739939241645741E-2</v>
      </c>
      <c r="V97" vm="837">
        <f ca="1"/>
        <v>46034</v>
      </c>
      <c r="W97" vm="842">
        <f ca="1"/>
        <v>60.88</v>
      </c>
      <c r="X97" s="51">
        <f t="shared" ca="1" si="13"/>
        <v>7.9470198675497539E-3</v>
      </c>
      <c r="Z97" vm="837">
        <f ca="1"/>
        <v>46034</v>
      </c>
      <c r="AA97" vm="843">
        <f ca="1"/>
        <v>636.09</v>
      </c>
      <c r="AB97" s="51">
        <f t="shared" ca="1" si="14"/>
        <v>-3.4779339192554382E-3</v>
      </c>
      <c r="AD97" vm="844">
        <f ca="1"/>
        <v>46035</v>
      </c>
      <c r="AE97" vm="845">
        <f ca="1"/>
        <v>53936.17</v>
      </c>
      <c r="AF97" s="51">
        <f t="shared" ca="1" si="15"/>
        <v>3.8434428721354497E-2</v>
      </c>
    </row>
    <row r="98" spans="2:32">
      <c r="B98" s="89" vm="846">
        <f ca="1"/>
        <v>46041</v>
      </c>
      <c r="C98" s="89" vm="847">
        <f ca="1"/>
        <v>143.75</v>
      </c>
      <c r="D98" s="90">
        <f t="shared" ca="1" si="8"/>
        <v>-0.10071942446043158</v>
      </c>
      <c r="F98" s="89" vm="846">
        <f ca="1"/>
        <v>46041</v>
      </c>
      <c r="G98" s="89" vm="848">
        <f ca="1"/>
        <v>55.02</v>
      </c>
      <c r="H98" s="90">
        <f t="shared" ca="1" si="9"/>
        <v>-7.754733994589702E-3</v>
      </c>
      <c r="J98" s="89" vm="846">
        <f ca="1"/>
        <v>46041</v>
      </c>
      <c r="K98" s="89" vm="849">
        <f ca="1"/>
        <v>18.5</v>
      </c>
      <c r="L98" s="90">
        <f t="shared" ca="1" si="10"/>
        <v>-0.1556366955727978</v>
      </c>
      <c r="N98" s="89" vm="850">
        <f ca="1"/>
        <v>46042</v>
      </c>
      <c r="O98" s="89" vm="851">
        <f ca="1"/>
        <v>6.35</v>
      </c>
      <c r="P98" s="92">
        <f t="shared" ca="1" si="11"/>
        <v>9.8615916955017147E-2</v>
      </c>
      <c r="R98" s="89" vm="850">
        <f ca="1"/>
        <v>46042</v>
      </c>
      <c r="S98" s="89" vm="852">
        <f ca="1"/>
        <v>25.585000000000001</v>
      </c>
      <c r="T98" s="90">
        <f t="shared" ca="1" si="12"/>
        <v>-2.3100420007636568E-2</v>
      </c>
      <c r="V98" vm="846">
        <f ca="1"/>
        <v>46041</v>
      </c>
      <c r="W98" vm="853">
        <f ca="1"/>
        <v>60.23</v>
      </c>
      <c r="X98" s="51">
        <f t="shared" ca="1" si="13"/>
        <v>-1.0676741130092093E-2</v>
      </c>
      <c r="Z98" vm="850">
        <f ca="1"/>
        <v>46042</v>
      </c>
      <c r="AA98" vm="854">
        <f ca="1"/>
        <v>633.83000000000004</v>
      </c>
      <c r="AB98" s="51">
        <f t="shared" ca="1" si="14"/>
        <v>-3.5529563426558441E-3</v>
      </c>
      <c r="AD98" vm="846">
        <f ca="1"/>
        <v>46041</v>
      </c>
      <c r="AE98" vm="855">
        <f ca="1"/>
        <v>53846.87</v>
      </c>
      <c r="AF98" s="51">
        <f t="shared" ca="1" si="15"/>
        <v>-1.6556607560380687E-3</v>
      </c>
    </row>
    <row r="99" spans="2:32">
      <c r="B99" s="89" vm="856">
        <f ca="1"/>
        <v>46048</v>
      </c>
      <c r="C99" s="89" vm="857">
        <f ca="1"/>
        <v>149.15</v>
      </c>
      <c r="D99" s="90">
        <f t="shared" ca="1" si="8"/>
        <v>3.7565217391304362E-2</v>
      </c>
      <c r="F99" s="89" vm="856">
        <f ca="1"/>
        <v>46048</v>
      </c>
      <c r="G99" s="89" vm="858">
        <f ca="1"/>
        <v>51.95</v>
      </c>
      <c r="H99" s="90">
        <f t="shared" ca="1" si="9"/>
        <v>-5.5797891675754219E-2</v>
      </c>
      <c r="J99" s="89" vm="856">
        <f ca="1"/>
        <v>46048</v>
      </c>
      <c r="K99" s="89" vm="714">
        <f ca="1"/>
        <v>21.64</v>
      </c>
      <c r="L99" s="90">
        <f t="shared" ca="1" si="10"/>
        <v>0.16972972972972977</v>
      </c>
      <c r="N99" s="89" vm="856">
        <f ca="1"/>
        <v>46048</v>
      </c>
      <c r="O99" s="89" vm="859">
        <f ca="1"/>
        <v>6.17</v>
      </c>
      <c r="P99" s="92">
        <f t="shared" ca="1" si="11"/>
        <v>-2.8346456692913358E-2</v>
      </c>
      <c r="R99" s="89" vm="856">
        <f ca="1"/>
        <v>46048</v>
      </c>
      <c r="S99" s="89" vm="860">
        <f ca="1"/>
        <v>24.015000000000001</v>
      </c>
      <c r="T99" s="90">
        <f t="shared" ca="1" si="12"/>
        <v>-6.1364080515927344E-2</v>
      </c>
      <c r="V99" vm="856">
        <f ca="1"/>
        <v>46048</v>
      </c>
      <c r="W99" vm="861">
        <f ca="1"/>
        <v>60.54</v>
      </c>
      <c r="X99" s="51">
        <f t="shared" ca="1" si="13"/>
        <v>5.1469367424872292E-3</v>
      </c>
      <c r="Z99" vm="856">
        <f ca="1"/>
        <v>46048</v>
      </c>
      <c r="AA99" vm="862">
        <f ca="1"/>
        <v>636.22</v>
      </c>
      <c r="AB99" s="51">
        <f t="shared" ca="1" si="14"/>
        <v>3.7707271665903264E-3</v>
      </c>
      <c r="AD99" vm="856">
        <f ca="1"/>
        <v>46048</v>
      </c>
      <c r="AE99" vm="863">
        <f ca="1"/>
        <v>53322.85</v>
      </c>
      <c r="AF99" s="51">
        <f t="shared" ca="1" si="15"/>
        <v>-9.7316705687815475E-3</v>
      </c>
    </row>
    <row r="100" spans="2:32">
      <c r="B100" s="89" vm="864">
        <f ca="1"/>
        <v>46055</v>
      </c>
      <c r="C100" s="89" vm="865">
        <f ca="1"/>
        <v>152.85</v>
      </c>
      <c r="D100" s="90">
        <f t="shared" ca="1" si="8"/>
        <v>2.4807241032517524E-2</v>
      </c>
      <c r="F100" s="89" vm="864">
        <f ca="1"/>
        <v>46055</v>
      </c>
      <c r="G100" s="89" vm="866">
        <f ca="1"/>
        <v>53.96</v>
      </c>
      <c r="H100" s="90">
        <f t="shared" ca="1" si="9"/>
        <v>3.8691049085659346E-2</v>
      </c>
      <c r="J100" s="89" vm="864">
        <f ca="1"/>
        <v>46055</v>
      </c>
      <c r="K100" s="89" vm="867">
        <f ca="1"/>
        <v>22.7</v>
      </c>
      <c r="L100" s="90">
        <f t="shared" ca="1" si="10"/>
        <v>4.8983364140480434E-2</v>
      </c>
      <c r="N100" s="89" vm="864">
        <f ca="1"/>
        <v>46055</v>
      </c>
      <c r="O100" s="89" vm="868">
        <f ca="1"/>
        <v>7.56</v>
      </c>
      <c r="P100" s="92">
        <f t="shared" ca="1" si="11"/>
        <v>0.22528363047001609</v>
      </c>
      <c r="R100" s="89" vm="864">
        <f ca="1"/>
        <v>46055</v>
      </c>
      <c r="S100" s="89" vm="869">
        <f ca="1"/>
        <v>24.59</v>
      </c>
      <c r="T100" s="90">
        <f t="shared" ca="1" si="12"/>
        <v>2.3943368727878278E-2</v>
      </c>
      <c r="V100" vm="864">
        <f ca="1"/>
        <v>46055</v>
      </c>
      <c r="W100" vm="870">
        <f ca="1"/>
        <v>61.13</v>
      </c>
      <c r="X100" s="51">
        <f t="shared" ca="1" si="13"/>
        <v>9.745622728774439E-3</v>
      </c>
      <c r="Z100" vm="864">
        <f ca="1"/>
        <v>46055</v>
      </c>
      <c r="AA100" vm="871">
        <f ca="1"/>
        <v>635.24</v>
      </c>
      <c r="AB100" s="51">
        <f t="shared" ca="1" si="14"/>
        <v>-1.5403476784759951E-3</v>
      </c>
      <c r="AD100" vm="864">
        <f ca="1"/>
        <v>46055</v>
      </c>
      <c r="AE100" vm="872">
        <f ca="1"/>
        <v>54253.68</v>
      </c>
      <c r="AF100" s="51">
        <f t="shared" ca="1" si="15"/>
        <v>1.7456493792060934E-2</v>
      </c>
    </row>
    <row r="101" spans="2:32">
      <c r="B101" s="89" vm="873">
        <f ca="1"/>
        <v>46062</v>
      </c>
      <c r="C101" s="89" vm="874">
        <f ca="1"/>
        <v>154.94999999999999</v>
      </c>
      <c r="D101" s="90">
        <f t="shared" ca="1" si="8"/>
        <v>1.3738959764475034E-2</v>
      </c>
      <c r="F101" s="89" vm="873">
        <f ca="1"/>
        <v>46062</v>
      </c>
      <c r="G101" s="89" vm="875">
        <f ca="1"/>
        <v>53.03</v>
      </c>
      <c r="H101" s="90">
        <f t="shared" ca="1" si="9"/>
        <v>-1.7234988880652335E-2</v>
      </c>
      <c r="J101" s="89" vm="873">
        <f ca="1"/>
        <v>46062</v>
      </c>
      <c r="K101" s="89" vm="876">
        <f ca="1"/>
        <v>23.45</v>
      </c>
      <c r="L101" s="90">
        <f t="shared" ca="1" si="10"/>
        <v>3.3039647577092435E-2</v>
      </c>
      <c r="N101" s="89" vm="873">
        <f ca="1"/>
        <v>46062</v>
      </c>
      <c r="O101" s="89" vm="81">
        <f ca="1"/>
        <v>7.19</v>
      </c>
      <c r="P101" s="92">
        <f t="shared" ca="1" si="11"/>
        <v>-4.8941798941798842E-2</v>
      </c>
      <c r="R101" s="89" vm="873">
        <f ca="1"/>
        <v>46062</v>
      </c>
      <c r="S101" s="89" vm="877">
        <f ca="1"/>
        <v>29.074999999999999</v>
      </c>
      <c r="T101" s="90">
        <f t="shared" ca="1" si="12"/>
        <v>0.18239121594143959</v>
      </c>
      <c r="V101" vm="873">
        <f ca="1"/>
        <v>46062</v>
      </c>
      <c r="W101" vm="878">
        <f ca="1"/>
        <v>61.24</v>
      </c>
      <c r="X101" s="51">
        <f t="shared" ca="1" si="13"/>
        <v>1.7994438082773456E-3</v>
      </c>
      <c r="Z101" vm="873">
        <f ca="1"/>
        <v>46062</v>
      </c>
      <c r="AA101" vm="879">
        <f ca="1"/>
        <v>626.89</v>
      </c>
      <c r="AB101" s="51">
        <f t="shared" ca="1" si="14"/>
        <v>-1.3144638246961771E-2</v>
      </c>
      <c r="AD101" vm="873">
        <f ca="1"/>
        <v>46062</v>
      </c>
      <c r="AE101" vm="880">
        <f ca="1"/>
        <v>56941.97</v>
      </c>
      <c r="AF101" s="51">
        <f t="shared" ca="1" si="15"/>
        <v>4.9550371513969127E-2</v>
      </c>
    </row>
    <row r="102" spans="2:32">
      <c r="B102" s="89" vm="881">
        <f ca="1"/>
        <v>46069</v>
      </c>
      <c r="C102" s="89" vm="882">
        <f ca="1"/>
        <v>158.69999999999999</v>
      </c>
      <c r="D102" s="90">
        <f t="shared" ca="1" si="8"/>
        <v>2.4201355275895509E-2</v>
      </c>
      <c r="F102" s="89" vm="881">
        <f ca="1"/>
        <v>46069</v>
      </c>
      <c r="G102" s="89" vm="665">
        <f ca="1"/>
        <v>55.04</v>
      </c>
      <c r="H102" s="90">
        <f t="shared" ca="1" si="9"/>
        <v>3.7903073731849757E-2</v>
      </c>
      <c r="J102" s="89" vm="881">
        <f ca="1"/>
        <v>46069</v>
      </c>
      <c r="K102" s="89" vm="883">
        <f ca="1"/>
        <v>23.25</v>
      </c>
      <c r="L102" s="90">
        <f t="shared" ca="1" si="10"/>
        <v>-8.5287846481876262E-3</v>
      </c>
      <c r="N102" s="89" vm="884">
        <f ca="1"/>
        <v>46070</v>
      </c>
      <c r="O102" s="89" vm="885">
        <f ca="1"/>
        <v>8.14</v>
      </c>
      <c r="P102" s="92">
        <f t="shared" ca="1" si="11"/>
        <v>0.13212795549374134</v>
      </c>
      <c r="R102" s="89" vm="884">
        <f ca="1"/>
        <v>46070</v>
      </c>
      <c r="S102" s="89" vm="886">
        <f ca="1"/>
        <v>31.4</v>
      </c>
      <c r="T102" s="90">
        <f t="shared" ca="1" si="12"/>
        <v>7.9965606190885552E-2</v>
      </c>
      <c r="V102" vm="881">
        <f ca="1"/>
        <v>46069</v>
      </c>
      <c r="W102" vm="887">
        <f ca="1"/>
        <v>62.62</v>
      </c>
      <c r="X102" s="51">
        <f t="shared" ca="1" si="13"/>
        <v>2.2534291312867438E-2</v>
      </c>
      <c r="Z102" vm="884">
        <f ca="1"/>
        <v>46070</v>
      </c>
      <c r="AA102" vm="888">
        <f ca="1"/>
        <v>634.02</v>
      </c>
      <c r="AB102" s="51">
        <f t="shared" ca="1" si="14"/>
        <v>1.1373606214806431E-2</v>
      </c>
      <c r="AD102" vm="881">
        <f ca="1"/>
        <v>46069</v>
      </c>
      <c r="AE102" vm="889">
        <f ca="1"/>
        <v>56825.7</v>
      </c>
      <c r="AF102" s="51">
        <f t="shared" ca="1" si="15"/>
        <v>-2.0419033623179095E-3</v>
      </c>
    </row>
    <row r="103" spans="2:32">
      <c r="B103" s="89" vm="890">
        <f ca="1"/>
        <v>46076</v>
      </c>
      <c r="C103" s="89" vm="891">
        <f ca="1"/>
        <v>158.19999999999999</v>
      </c>
      <c r="D103" s="90">
        <f t="shared" ca="1" si="8"/>
        <v>-3.150598613736566E-3</v>
      </c>
      <c r="F103" s="89" vm="890">
        <f ca="1"/>
        <v>46076</v>
      </c>
      <c r="G103" s="89" vm="892">
        <f ca="1"/>
        <v>52.72</v>
      </c>
      <c r="H103" s="90">
        <f t="shared" ca="1" si="9"/>
        <v>-4.2151162790697638E-2</v>
      </c>
      <c r="J103" s="89" vm="890">
        <f ca="1"/>
        <v>46076</v>
      </c>
      <c r="K103" s="89" vm="893">
        <f ca="1"/>
        <v>23.76</v>
      </c>
      <c r="L103" s="90">
        <f t="shared" ca="1" si="10"/>
        <v>2.1935483870967776E-2</v>
      </c>
      <c r="N103" s="89" vm="890">
        <f ca="1"/>
        <v>46076</v>
      </c>
      <c r="O103" s="89" vm="894">
        <f ca="1"/>
        <v>7.42</v>
      </c>
      <c r="P103" s="92">
        <f t="shared" ca="1" si="11"/>
        <v>-8.8452088452088518E-2</v>
      </c>
      <c r="R103" s="89" vm="890">
        <f ca="1"/>
        <v>46076</v>
      </c>
      <c r="S103" s="89" vm="895">
        <f ca="1"/>
        <v>30.55</v>
      </c>
      <c r="T103" s="90">
        <f t="shared" ca="1" si="12"/>
        <v>-2.7070063694267454E-2</v>
      </c>
      <c r="V103" vm="890">
        <f ca="1"/>
        <v>46076</v>
      </c>
      <c r="W103" vm="896">
        <f ca="1"/>
        <v>62.87</v>
      </c>
      <c r="X103" s="51">
        <f t="shared" ca="1" si="13"/>
        <v>3.992334717342727E-3</v>
      </c>
      <c r="Z103" vm="890">
        <f ca="1"/>
        <v>46076</v>
      </c>
      <c r="AA103" vm="897">
        <f ca="1"/>
        <v>631.04</v>
      </c>
      <c r="AB103" s="51">
        <f t="shared" ca="1" si="14"/>
        <v>-4.7001671871550466E-3</v>
      </c>
      <c r="AD103" vm="898">
        <f ca="1"/>
        <v>46077</v>
      </c>
      <c r="AE103" vm="899">
        <f ca="1"/>
        <v>58850.27</v>
      </c>
      <c r="AF103" s="51">
        <f t="shared" ca="1" si="15"/>
        <v>3.5627717740388531E-2</v>
      </c>
    </row>
    <row r="104" spans="2:32">
      <c r="B104" s="89" vm="900">
        <f ca="1"/>
        <v>46083</v>
      </c>
      <c r="C104" s="89" vm="901">
        <f ca="1"/>
        <v>142.69999999999999</v>
      </c>
      <c r="D104" s="90">
        <f t="shared" ca="1" si="8"/>
        <v>-9.797724399494312E-2</v>
      </c>
      <c r="F104" s="89" vm="900">
        <f ca="1"/>
        <v>46083</v>
      </c>
      <c r="G104" s="89" vm="902">
        <f ca="1"/>
        <v>49.055</v>
      </c>
      <c r="H104" s="90">
        <f t="shared" ca="1" si="9"/>
        <v>-6.9518209408194198E-2</v>
      </c>
      <c r="J104" s="89" vm="900">
        <f ca="1"/>
        <v>46083</v>
      </c>
      <c r="K104" s="89" vm="822">
        <f ca="1"/>
        <v>22.4</v>
      </c>
      <c r="L104" s="90">
        <f t="shared" ca="1" si="10"/>
        <v>-5.7239057239057312E-2</v>
      </c>
      <c r="N104" s="89" vm="900">
        <f ca="1"/>
        <v>46083</v>
      </c>
      <c r="O104" s="89" vm="903">
        <f ca="1"/>
        <v>6.59</v>
      </c>
      <c r="P104" s="92">
        <f t="shared" ca="1" si="11"/>
        <v>-0.11185983827493262</v>
      </c>
      <c r="R104" s="89" vm="900">
        <f ca="1"/>
        <v>46083</v>
      </c>
      <c r="S104" s="89" vm="904">
        <f ca="1"/>
        <v>28.49</v>
      </c>
      <c r="T104" s="90">
        <f t="shared" ca="1" si="12"/>
        <v>-6.7430441898527094E-2</v>
      </c>
      <c r="V104" vm="900">
        <f ca="1"/>
        <v>46083</v>
      </c>
      <c r="W104" vm="905">
        <f ca="1"/>
        <v>59.4</v>
      </c>
      <c r="X104" s="51">
        <f t="shared" ca="1" si="13"/>
        <v>-5.5193255924924411E-2</v>
      </c>
      <c r="Z104" vm="900">
        <f ca="1"/>
        <v>46083</v>
      </c>
      <c r="AA104" vm="906">
        <f ca="1"/>
        <v>618.42999999999995</v>
      </c>
      <c r="AB104" s="51">
        <f t="shared" ca="1" si="14"/>
        <v>-1.9982885395537497E-2</v>
      </c>
      <c r="AD104" vm="900">
        <f ca="1"/>
        <v>46083</v>
      </c>
      <c r="AE104" vm="907">
        <f ca="1"/>
        <v>55620.84</v>
      </c>
      <c r="AF104" s="51">
        <f t="shared" ca="1" si="15"/>
        <v>-5.4875364208184618E-2</v>
      </c>
    </row>
    <row r="105" spans="2:32">
      <c r="B105" s="89" vm="908">
        <f ca="1"/>
        <v>46090</v>
      </c>
      <c r="C105" s="89" vm="909">
        <f ca="1"/>
        <v>138.9</v>
      </c>
      <c r="D105" s="90">
        <f t="shared" ca="1" si="8"/>
        <v>-2.6629292221443501E-2</v>
      </c>
      <c r="F105" s="89" vm="908">
        <f ca="1"/>
        <v>46090</v>
      </c>
      <c r="G105" s="89" vm="910">
        <f ca="1"/>
        <v>47.26</v>
      </c>
      <c r="H105" s="90">
        <f t="shared" ca="1" si="9"/>
        <v>-3.6591580878605701E-2</v>
      </c>
      <c r="J105" s="89" vm="908">
        <f ca="1"/>
        <v>46090</v>
      </c>
      <c r="K105" s="89" vm="911">
        <f ca="1"/>
        <v>21.61</v>
      </c>
      <c r="L105" s="90">
        <f t="shared" ca="1" si="10"/>
        <v>-3.5267857142857073E-2</v>
      </c>
      <c r="N105" s="89" vm="908">
        <f ca="1"/>
        <v>46090</v>
      </c>
      <c r="O105" s="89" vm="912">
        <f ca="1"/>
        <v>6.49</v>
      </c>
      <c r="P105" s="92">
        <f t="shared" ca="1" si="11"/>
        <v>-1.5174506828528056E-2</v>
      </c>
      <c r="R105" s="89" vm="908">
        <f ca="1"/>
        <v>46090</v>
      </c>
      <c r="S105" s="89" vm="913">
        <f ca="1"/>
        <v>27.598500000000001</v>
      </c>
      <c r="T105" s="90">
        <f t="shared" ca="1" si="12"/>
        <v>-3.1291681291681139E-2</v>
      </c>
      <c r="V105" vm="908">
        <f ca="1"/>
        <v>46090</v>
      </c>
      <c r="W105" vm="914">
        <f ca="1"/>
        <v>59.13</v>
      </c>
      <c r="X105" s="51">
        <f t="shared" ca="1" si="13"/>
        <v>-4.5454545454545192E-3</v>
      </c>
      <c r="Z105" vm="908">
        <f ca="1"/>
        <v>46090</v>
      </c>
      <c r="AA105" vm="915">
        <f ca="1"/>
        <v>609.09</v>
      </c>
      <c r="AB105" s="51">
        <f t="shared" ca="1" si="14"/>
        <v>-1.5102760215384037E-2</v>
      </c>
      <c r="AD105" vm="908">
        <f ca="1"/>
        <v>46090</v>
      </c>
      <c r="AE105" vm="916">
        <f ca="1"/>
        <v>53819.61</v>
      </c>
      <c r="AF105" s="51">
        <f t="shared" ca="1" si="15"/>
        <v>-3.2384084814253034E-2</v>
      </c>
    </row>
    <row r="106" spans="2:32">
      <c r="B106" s="89" vm="917">
        <f ca="1"/>
        <v>46097</v>
      </c>
      <c r="C106" s="89" vm="918">
        <f ca="1"/>
        <v>133.5</v>
      </c>
      <c r="D106" s="90">
        <f t="shared" ca="1" si="8"/>
        <v>-3.8876889848812102E-2</v>
      </c>
      <c r="F106" s="89" vm="917">
        <f ca="1"/>
        <v>46097</v>
      </c>
      <c r="G106" s="89" vm="919">
        <f ca="1"/>
        <v>46</v>
      </c>
      <c r="H106" s="90">
        <f t="shared" ca="1" si="9"/>
        <v>-2.6661024121878873E-2</v>
      </c>
      <c r="J106" s="89" vm="917">
        <f ca="1"/>
        <v>46097</v>
      </c>
      <c r="K106" s="89" vm="920">
        <f ca="1"/>
        <v>20.059999999999999</v>
      </c>
      <c r="L106" s="90">
        <f t="shared" ca="1" si="10"/>
        <v>-7.1726052753354974E-2</v>
      </c>
      <c r="N106" s="89" vm="917">
        <f ca="1"/>
        <v>46097</v>
      </c>
      <c r="O106" s="89" vm="921">
        <f ca="1"/>
        <v>5.85</v>
      </c>
      <c r="P106" s="92">
        <f t="shared" ca="1" si="11"/>
        <v>-9.8613251155624138E-2</v>
      </c>
      <c r="R106" s="89" vm="917">
        <f ca="1"/>
        <v>46097</v>
      </c>
      <c r="S106" s="89" vm="922">
        <f ca="1"/>
        <v>26.6</v>
      </c>
      <c r="T106" s="90">
        <f t="shared" ca="1" si="12"/>
        <v>-3.6179502509194328E-2</v>
      </c>
      <c r="V106" vm="917">
        <f ca="1"/>
        <v>46097</v>
      </c>
      <c r="W106" vm="923">
        <f ca="1"/>
        <v>56.7</v>
      </c>
      <c r="X106" s="51">
        <f t="shared" ca="1" si="13"/>
        <v>-4.1095890410958846E-2</v>
      </c>
      <c r="Z106" vm="917">
        <f ca="1"/>
        <v>46097</v>
      </c>
      <c r="AA106" vm="924">
        <f ca="1"/>
        <v>597.94000000000005</v>
      </c>
      <c r="AB106" s="51">
        <f t="shared" ca="1" si="14"/>
        <v>-1.8305997471637969E-2</v>
      </c>
      <c r="AD106" vm="917">
        <f ca="1"/>
        <v>46097</v>
      </c>
      <c r="AE106" vm="925">
        <f ca="1"/>
        <v>53372.53</v>
      </c>
      <c r="AF106" s="51">
        <f t="shared" ca="1" si="15"/>
        <v>-8.3070092852772781E-3</v>
      </c>
    </row>
    <row r="107" spans="2:32">
      <c r="B107" s="89" vm="926">
        <f ca="1"/>
        <v>46104</v>
      </c>
      <c r="C107" s="89" vm="927">
        <f ca="1"/>
        <v>132.05000000000001</v>
      </c>
      <c r="D107" s="90">
        <f t="shared" ca="1" si="8"/>
        <v>-1.086142322097372E-2</v>
      </c>
      <c r="F107" s="89" vm="926">
        <f ca="1"/>
        <v>46104</v>
      </c>
      <c r="G107" s="89" vm="928">
        <f ca="1"/>
        <v>44.89</v>
      </c>
      <c r="H107" s="90">
        <f t="shared" ca="1" si="9"/>
        <v>-2.4130434782608678E-2</v>
      </c>
      <c r="J107" s="89" vm="926">
        <f ca="1"/>
        <v>46104</v>
      </c>
      <c r="K107" s="89" vm="705">
        <f ca="1"/>
        <v>21.47</v>
      </c>
      <c r="L107" s="90">
        <f t="shared" ca="1" si="10"/>
        <v>7.0289132602193494E-2</v>
      </c>
      <c r="N107" s="89" vm="926">
        <f ca="1"/>
        <v>46104</v>
      </c>
      <c r="O107" s="89" vm="929">
        <f ca="1"/>
        <v>5.74</v>
      </c>
      <c r="P107" s="92">
        <f t="shared" ca="1" si="11"/>
        <v>-1.8803418803418737E-2</v>
      </c>
      <c r="R107" s="89" vm="926">
        <f ca="1"/>
        <v>46104</v>
      </c>
      <c r="S107" s="89" vm="930">
        <f ca="1"/>
        <v>26.135000000000002</v>
      </c>
      <c r="T107" s="90">
        <f t="shared" ca="1" si="12"/>
        <v>-1.7481203007518764E-2</v>
      </c>
      <c r="V107" vm="926">
        <f ca="1"/>
        <v>46104</v>
      </c>
      <c r="W107" vm="931">
        <f ca="1"/>
        <v>57.05</v>
      </c>
      <c r="X107" s="51">
        <f t="shared" ca="1" si="13"/>
        <v>6.1728395061726449E-3</v>
      </c>
      <c r="Z107" vm="926">
        <f ca="1"/>
        <v>46104</v>
      </c>
      <c r="AA107" vm="932">
        <f ca="1"/>
        <v>582.96</v>
      </c>
      <c r="AB107" s="51">
        <f t="shared" ca="1" si="14"/>
        <v>-2.505268087099044E-2</v>
      </c>
      <c r="AD107" vm="926">
        <f ca="1"/>
        <v>46104</v>
      </c>
      <c r="AE107" vm="933">
        <f ca="1"/>
        <v>53373.07</v>
      </c>
      <c r="AF107" s="51">
        <f t="shared" ca="1" si="15"/>
        <v>1.0117564222644759E-5</v>
      </c>
    </row>
    <row r="108" spans="2:32">
      <c r="B108" s="89" vm="934">
        <f ca="1"/>
        <v>46111</v>
      </c>
      <c r="C108" s="89" vm="935">
        <f ca="1"/>
        <v>134.9</v>
      </c>
      <c r="D108" s="90">
        <f t="shared" ca="1" si="8"/>
        <v>2.1582733812949506E-2</v>
      </c>
      <c r="F108" s="89" vm="934">
        <f ca="1"/>
        <v>46111</v>
      </c>
      <c r="G108" s="89" vm="936">
        <f ca="1"/>
        <v>37.835000000000001</v>
      </c>
      <c r="H108" s="90">
        <f t="shared" ca="1" si="9"/>
        <v>-0.15716195143684564</v>
      </c>
      <c r="J108" s="89" vm="934">
        <f ca="1"/>
        <v>46111</v>
      </c>
      <c r="K108" s="89" vm="937">
        <f ca="1"/>
        <v>22.05</v>
      </c>
      <c r="L108" s="90">
        <f t="shared" ca="1" si="10"/>
        <v>2.7014438751746805E-2</v>
      </c>
      <c r="N108" s="89" vm="934">
        <f ca="1"/>
        <v>46111</v>
      </c>
      <c r="O108" s="89" vm="938">
        <f ca="1"/>
        <v>5.62</v>
      </c>
      <c r="P108" s="92">
        <f t="shared" ca="1" si="11"/>
        <v>-2.0905923344947785E-2</v>
      </c>
      <c r="R108" s="89" vm="934">
        <f ca="1"/>
        <v>46111</v>
      </c>
      <c r="S108" s="89" vm="939">
        <f ca="1"/>
        <v>27.54</v>
      </c>
      <c r="T108" s="90">
        <f t="shared" ca="1" si="12"/>
        <v>5.3759326573560307E-2</v>
      </c>
      <c r="V108" vm="934">
        <f ca="1"/>
        <v>46111</v>
      </c>
      <c r="W108" vm="940">
        <f ca="1"/>
        <v>59.24</v>
      </c>
      <c r="X108" s="51">
        <f t="shared" ca="1" si="13"/>
        <v>3.8387379491674034E-2</v>
      </c>
      <c r="Z108" vm="934">
        <f ca="1"/>
        <v>46111</v>
      </c>
      <c r="AA108" vm="941">
        <f ca="1"/>
        <v>602.99</v>
      </c>
      <c r="AB108" s="51">
        <f t="shared" ca="1" si="14"/>
        <v>3.4359132702072026E-2</v>
      </c>
      <c r="AD108" vm="934">
        <f ca="1"/>
        <v>46111</v>
      </c>
      <c r="AE108" vm="942">
        <f ca="1"/>
        <v>53123.49</v>
      </c>
      <c r="AF108" s="51">
        <f t="shared" ca="1" si="15"/>
        <v>-4.6761409827090761E-3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26F7B-3BCB-4CBE-895F-9F3643F8E79B}">
  <dimension ref="B2:R10"/>
  <sheetViews>
    <sheetView showGridLines="0" workbookViewId="0">
      <selection activeCell="I13" sqref="I13"/>
    </sheetView>
  </sheetViews>
  <sheetFormatPr defaultRowHeight="14.4"/>
  <cols>
    <col min="1" max="1" width="2.44140625" customWidth="1"/>
    <col min="2" max="2" width="16.21875" bestFit="1" customWidth="1"/>
    <col min="4" max="4" width="12" bestFit="1" customWidth="1"/>
  </cols>
  <sheetData>
    <row r="2" spans="2:18">
      <c r="B2" t="s">
        <v>185</v>
      </c>
      <c r="C2" t="s">
        <v>184</v>
      </c>
      <c r="D2" t="s">
        <v>190</v>
      </c>
      <c r="R2" t="s">
        <v>47</v>
      </c>
    </row>
    <row r="3" spans="2:18">
      <c r="B3" t="s">
        <v>178</v>
      </c>
      <c r="C3" s="7">
        <f ca="1">SLOPE('Comps Data'!D5:D108,'Comps Data'!X5:X108)</f>
        <v>1.255759675506777</v>
      </c>
      <c r="D3" s="7">
        <f ca="1">(C3*$C$9)+(1*$C$10)</f>
        <v>1.1918197566300828</v>
      </c>
    </row>
    <row r="4" spans="2:18">
      <c r="B4" t="s">
        <v>186</v>
      </c>
      <c r="C4" s="7">
        <f ca="1">SLOPE('Comps Data'!L5:L108,'Comps Data'!X5:X108)</f>
        <v>1.4365234148170649</v>
      </c>
      <c r="D4" s="7">
        <f t="shared" ref="D4:D7" ca="1" si="0">(C4*$C$9)+(1*$C$10)</f>
        <v>1.3273925611127986</v>
      </c>
    </row>
    <row r="5" spans="2:18">
      <c r="B5" t="s">
        <v>187</v>
      </c>
      <c r="C5" s="7">
        <f ca="1">SLOPE('Comps Data'!H5:H108,'Comps Data'!AB5:AB108)</f>
        <v>0.7579233320552774</v>
      </c>
      <c r="D5" s="7">
        <f t="shared" ca="1" si="0"/>
        <v>0.81844249904145805</v>
      </c>
    </row>
    <row r="6" spans="2:18">
      <c r="B6" t="s">
        <v>188</v>
      </c>
      <c r="C6" s="7">
        <f ca="1">SLOPE('Comps Data'!H6:H109,'Comps Data'!AB6:AB109)</f>
        <v>0.78467945673965833</v>
      </c>
      <c r="D6" s="7">
        <f t="shared" ca="1" si="0"/>
        <v>0.83850959255474378</v>
      </c>
    </row>
    <row r="7" spans="2:18">
      <c r="B7" t="s">
        <v>189</v>
      </c>
      <c r="C7" s="7">
        <f ca="1">SLOPE('Comps Data'!T5:T108,'Comps Data'!AF5:AF108)</f>
        <v>0.95703649179393369</v>
      </c>
      <c r="D7" s="7">
        <f t="shared" ca="1" si="0"/>
        <v>0.96777736884545029</v>
      </c>
    </row>
    <row r="9" spans="2:18">
      <c r="B9" t="s">
        <v>191</v>
      </c>
      <c r="C9" s="50">
        <v>0.75</v>
      </c>
    </row>
    <row r="10" spans="2:18">
      <c r="B10" t="s">
        <v>192</v>
      </c>
      <c r="C10" s="50">
        <v>0.25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2D2D4-C595-406E-9D4A-2F60BEE67361}">
  <dimension ref="B2:O27"/>
  <sheetViews>
    <sheetView showGridLines="0" topLeftCell="A3" workbookViewId="0">
      <selection activeCell="Q16" sqref="Q16"/>
    </sheetView>
  </sheetViews>
  <sheetFormatPr defaultRowHeight="14.4"/>
  <cols>
    <col min="1" max="1" width="3" customWidth="1"/>
    <col min="2" max="2" width="18" customWidth="1"/>
    <col min="3" max="3" width="12.109375" bestFit="1" customWidth="1"/>
    <col min="4" max="4" width="11.109375" bestFit="1" customWidth="1"/>
    <col min="5" max="5" width="13.6640625" bestFit="1" customWidth="1"/>
    <col min="6" max="7" width="10.44140625" bestFit="1" customWidth="1"/>
  </cols>
  <sheetData>
    <row r="2" spans="2:14" ht="21">
      <c r="B2" s="84" t="s">
        <v>155</v>
      </c>
      <c r="F2" t="s">
        <v>47</v>
      </c>
      <c r="G2" s="104"/>
    </row>
    <row r="4" spans="2:14">
      <c r="B4" t="s">
        <v>157</v>
      </c>
      <c r="C4" t="s">
        <v>156</v>
      </c>
      <c r="D4" s="6" t="s">
        <v>147</v>
      </c>
      <c r="E4" t="s">
        <v>158</v>
      </c>
      <c r="F4" s="6" t="s">
        <v>216</v>
      </c>
      <c r="G4" t="s">
        <v>158</v>
      </c>
      <c r="H4" s="6" t="s">
        <v>222</v>
      </c>
      <c r="I4" t="s">
        <v>158</v>
      </c>
      <c r="J4" s="6" t="s">
        <v>223</v>
      </c>
      <c r="K4" t="s">
        <v>158</v>
      </c>
      <c r="L4" s="6" t="s">
        <v>224</v>
      </c>
      <c r="M4" t="s">
        <v>225</v>
      </c>
    </row>
    <row r="5" spans="2:14">
      <c r="B5">
        <v>1</v>
      </c>
      <c r="C5" s="88">
        <f>BL!$C$10</f>
        <v>2021</v>
      </c>
      <c r="D5" s="7" cm="1">
        <f t="array" ref="D5:D9">TRANSPOSE(BL!J13:N13)</f>
        <v>21234</v>
      </c>
      <c r="F5" s="7" cm="1">
        <f t="array" ref="F5:F9">TRANSPOSE(BL!J24:N24)</f>
        <v>1986</v>
      </c>
      <c r="H5" s="7" cm="1">
        <f t="array" ref="H5:H9">TRANSPOSE(BL!Q26:U26)</f>
        <v>-667</v>
      </c>
      <c r="J5" s="7" cm="1">
        <f t="array" ref="J5:J9">TRANSPOSE(BL!Q14:U14)</f>
        <v>1149</v>
      </c>
      <c r="L5" s="7">
        <f>D18</f>
        <v>1815</v>
      </c>
    </row>
    <row r="6" spans="2:14">
      <c r="B6">
        <v>2</v>
      </c>
      <c r="C6" s="88">
        <f>C5+1</f>
        <v>2022</v>
      </c>
      <c r="D6" s="7">
        <v>22511</v>
      </c>
      <c r="E6" s="51">
        <f>D6/D5 -1</f>
        <v>6.0139399076952094E-2</v>
      </c>
      <c r="F6" s="7">
        <v>669</v>
      </c>
      <c r="G6" s="51">
        <f>F6/F5 -1</f>
        <v>-0.6631419939577039</v>
      </c>
      <c r="H6" s="7">
        <v>-695</v>
      </c>
      <c r="I6" s="51">
        <f>H6/H5 -1</f>
        <v>4.1979010494752611E-2</v>
      </c>
      <c r="J6" s="7">
        <v>1375</v>
      </c>
      <c r="K6" s="51">
        <f>J6/J5 - 1</f>
        <v>0.19669277632724103</v>
      </c>
      <c r="L6" s="7">
        <f t="shared" ref="L6:L9" si="0">D19</f>
        <v>2457</v>
      </c>
      <c r="M6" s="7">
        <f>L6-L5</f>
        <v>642</v>
      </c>
    </row>
    <row r="7" spans="2:14">
      <c r="B7">
        <v>3</v>
      </c>
      <c r="C7" s="88">
        <f t="shared" ref="C7:C14" si="1">C6+1</f>
        <v>2023</v>
      </c>
      <c r="D7" s="7">
        <v>21427</v>
      </c>
      <c r="E7" s="51">
        <f t="shared" ref="E7:E14" si="2">D7/D6 -1</f>
        <v>-4.8154235706987736E-2</v>
      </c>
      <c r="F7" s="7">
        <v>268</v>
      </c>
      <c r="G7" s="51">
        <f t="shared" ref="G7:G14" si="3">F7/F6 -1</f>
        <v>-0.59940209267563527</v>
      </c>
      <c r="H7" s="7">
        <v>-504</v>
      </c>
      <c r="I7" s="51">
        <f t="shared" ref="I7:I14" si="4">H7/H6 -1</f>
        <v>-0.27482014388489207</v>
      </c>
      <c r="J7" s="7">
        <v>1212</v>
      </c>
      <c r="K7" s="51">
        <f t="shared" ref="K7:K14" si="5">J7/J6 - 1</f>
        <v>-0.11854545454545451</v>
      </c>
      <c r="L7" s="7">
        <f t="shared" si="0"/>
        <v>1214</v>
      </c>
      <c r="M7" s="7">
        <f t="shared" ref="M7:M14" si="6">L7-L6</f>
        <v>-1243</v>
      </c>
    </row>
    <row r="8" spans="2:14">
      <c r="B8">
        <v>4</v>
      </c>
      <c r="C8" s="88">
        <f t="shared" si="1"/>
        <v>2024</v>
      </c>
      <c r="D8" s="7">
        <v>23683</v>
      </c>
      <c r="E8" s="51">
        <f t="shared" si="2"/>
        <v>0.10528772109954732</v>
      </c>
      <c r="F8" s="7">
        <v>1337</v>
      </c>
      <c r="G8" s="51">
        <f t="shared" si="3"/>
        <v>3.9888059701492535</v>
      </c>
      <c r="H8" s="7">
        <v>-540</v>
      </c>
      <c r="I8" s="51">
        <f t="shared" si="4"/>
        <v>7.1428571428571397E-2</v>
      </c>
      <c r="J8" s="7">
        <v>1208</v>
      </c>
      <c r="K8" s="51">
        <f t="shared" si="5"/>
        <v>-3.3003300330033403E-3</v>
      </c>
      <c r="L8" s="7">
        <f t="shared" si="0"/>
        <v>508</v>
      </c>
      <c r="M8" s="7">
        <f t="shared" si="6"/>
        <v>-706</v>
      </c>
    </row>
    <row r="9" spans="2:14">
      <c r="B9">
        <v>5</v>
      </c>
      <c r="C9" s="88">
        <f t="shared" si="1"/>
        <v>2025</v>
      </c>
      <c r="D9" s="7">
        <v>24811</v>
      </c>
      <c r="E9" s="51">
        <f t="shared" si="2"/>
        <v>4.7629101042942157E-2</v>
      </c>
      <c r="F9" s="7">
        <v>2056</v>
      </c>
      <c r="G9" s="51">
        <f t="shared" si="3"/>
        <v>0.53777112939416605</v>
      </c>
      <c r="H9" s="7">
        <v>-477</v>
      </c>
      <c r="I9" s="51">
        <f t="shared" si="4"/>
        <v>-0.1166666666666667</v>
      </c>
      <c r="J9" s="7">
        <v>1154</v>
      </c>
      <c r="K9" s="51">
        <f t="shared" si="5"/>
        <v>-4.4701986754966838E-2</v>
      </c>
      <c r="L9" s="7">
        <f t="shared" si="0"/>
        <v>2521</v>
      </c>
      <c r="M9" s="7">
        <f t="shared" si="6"/>
        <v>2013</v>
      </c>
    </row>
    <row r="10" spans="2:14">
      <c r="B10" s="85">
        <v>6</v>
      </c>
      <c r="C10" s="85">
        <f t="shared" si="1"/>
        <v>2026</v>
      </c>
      <c r="D10" s="86">
        <f>_xlfn.FORECAST.ETS(B10,_xlfn.ANCHORARRAY($D$5),$B$5:$B$9)</f>
        <v>25697.345898398868</v>
      </c>
      <c r="E10" s="87">
        <f t="shared" si="2"/>
        <v>3.5723908685618033E-2</v>
      </c>
      <c r="F10" s="106">
        <f>_xlfn.FORECAST.ETS(B10,$F$5:$F$9,$B$5:$B$9)</f>
        <v>1827.0144708107132</v>
      </c>
      <c r="G10" s="105">
        <f t="shared" si="3"/>
        <v>-0.11137428462513954</v>
      </c>
      <c r="H10" s="106">
        <f>-(D10*$C$25)</f>
        <v>-604.44590156312267</v>
      </c>
      <c r="I10" s="105">
        <f t="shared" si="4"/>
        <v>0.26718218357048773</v>
      </c>
      <c r="J10" s="106">
        <f>_xlfn.FORECAST.ETS(B10,$J$5:$J$9,$B$5:$B$9)</f>
        <v>1194.489924458263</v>
      </c>
      <c r="K10" s="105">
        <f>J10/J9 - 1</f>
        <v>3.5086589651874389E-2</v>
      </c>
      <c r="L10" s="106">
        <f>D10*$E$25</f>
        <v>2196.5095038897025</v>
      </c>
      <c r="M10" s="106">
        <f t="shared" si="6"/>
        <v>-324.4904961102975</v>
      </c>
    </row>
    <row r="11" spans="2:14">
      <c r="B11" s="85">
        <v>7</v>
      </c>
      <c r="C11" s="85">
        <f t="shared" si="1"/>
        <v>2027</v>
      </c>
      <c r="D11" s="86">
        <f>_xlfn.FORECAST.ETS(B11,_xlfn.ANCHORARRAY($D$5),$B$5:$B$9)</f>
        <v>26589.895021316115</v>
      </c>
      <c r="E11" s="87">
        <f t="shared" si="2"/>
        <v>3.473312483110802E-2</v>
      </c>
      <c r="F11" s="106">
        <f t="shared" ref="F11:F14" si="7">_xlfn.FORECAST.ETS(B11,$F$5:$F$9,$B$5:$B$9)</f>
        <v>1964.2099388922265</v>
      </c>
      <c r="G11" s="105">
        <f t="shared" si="3"/>
        <v>7.5092710141827501E-2</v>
      </c>
      <c r="H11" s="106">
        <f t="shared" ref="H11:H14" si="8">-(D11*$C$25)</f>
        <v>-625.44019651576627</v>
      </c>
      <c r="I11" s="105">
        <f t="shared" si="4"/>
        <v>3.473312483110802E-2</v>
      </c>
      <c r="J11" s="106">
        <f t="shared" ref="J11:J14" si="9">_xlfn.FORECAST.ETS(B11,$J$5:$J$9,$B$5:$B$9)</f>
        <v>981.40642650366874</v>
      </c>
      <c r="K11" s="105">
        <f t="shared" si="5"/>
        <v>-0.17838869427989024</v>
      </c>
      <c r="L11" s="106">
        <f>D11*$E$25</f>
        <v>2272.8011426810185</v>
      </c>
      <c r="M11" s="106">
        <f t="shared" si="6"/>
        <v>76.291638791316018</v>
      </c>
    </row>
    <row r="12" spans="2:14">
      <c r="B12" s="85">
        <v>8</v>
      </c>
      <c r="C12" s="85">
        <f t="shared" si="1"/>
        <v>2028</v>
      </c>
      <c r="D12" s="86">
        <f t="shared" ref="D12:D14" si="10">_xlfn.FORECAST.ETS(B12,_xlfn.ANCHORARRAY($D$5),$B$5:$B$9)</f>
        <v>27482.444144233359</v>
      </c>
      <c r="E12" s="87">
        <f t="shared" si="2"/>
        <v>3.3567230039897478E-2</v>
      </c>
      <c r="F12" s="106">
        <f t="shared" si="7"/>
        <v>2101.4054069737394</v>
      </c>
      <c r="G12" s="105">
        <f t="shared" si="3"/>
        <v>6.9847660051495453E-2</v>
      </c>
      <c r="H12" s="106">
        <f t="shared" si="8"/>
        <v>-646.43449146840965</v>
      </c>
      <c r="I12" s="105">
        <f t="shared" si="4"/>
        <v>3.3567230039897478E-2</v>
      </c>
      <c r="J12" s="106">
        <f t="shared" si="9"/>
        <v>1114.5510745150973</v>
      </c>
      <c r="K12" s="105">
        <f t="shared" si="5"/>
        <v>0.13566718580167247</v>
      </c>
      <c r="L12" s="106">
        <f>D12*$E$25</f>
        <v>2349.0927814723345</v>
      </c>
      <c r="M12" s="106">
        <f t="shared" si="6"/>
        <v>76.291638791316018</v>
      </c>
    </row>
    <row r="13" spans="2:14">
      <c r="B13" s="85">
        <v>9</v>
      </c>
      <c r="C13" s="85">
        <f t="shared" si="1"/>
        <v>2029</v>
      </c>
      <c r="D13" s="86">
        <f t="shared" si="10"/>
        <v>28374.993267150603</v>
      </c>
      <c r="E13" s="87">
        <f t="shared" si="2"/>
        <v>3.2477064930359401E-2</v>
      </c>
      <c r="F13" s="106">
        <f t="shared" si="7"/>
        <v>2238.6008750552528</v>
      </c>
      <c r="G13" s="105">
        <f t="shared" si="3"/>
        <v>6.5287482189879009E-2</v>
      </c>
      <c r="H13" s="106">
        <f t="shared" si="8"/>
        <v>-667.42878642105313</v>
      </c>
      <c r="I13" s="105">
        <f t="shared" si="4"/>
        <v>3.2477064930359623E-2</v>
      </c>
      <c r="J13" s="106">
        <f t="shared" si="9"/>
        <v>901.46757656050306</v>
      </c>
      <c r="K13" s="105">
        <f t="shared" si="5"/>
        <v>-0.19118325111058687</v>
      </c>
      <c r="L13" s="106">
        <f>D13*$E$25</f>
        <v>2425.3844202636501</v>
      </c>
      <c r="M13" s="106">
        <f t="shared" si="6"/>
        <v>76.291638791315563</v>
      </c>
    </row>
    <row r="14" spans="2:14">
      <c r="B14" s="85">
        <v>10</v>
      </c>
      <c r="C14" s="85">
        <f t="shared" si="1"/>
        <v>2030</v>
      </c>
      <c r="D14" s="86">
        <f t="shared" si="10"/>
        <v>29267.542390067851</v>
      </c>
      <c r="E14" s="87">
        <f t="shared" si="2"/>
        <v>3.1455483161313857E-2</v>
      </c>
      <c r="F14" s="106">
        <f t="shared" si="7"/>
        <v>2375.7963431367662</v>
      </c>
      <c r="G14" s="105">
        <f t="shared" si="3"/>
        <v>6.1286256791142968E-2</v>
      </c>
      <c r="H14" s="106">
        <f t="shared" si="8"/>
        <v>-688.42308137369662</v>
      </c>
      <c r="I14" s="105">
        <f t="shared" si="4"/>
        <v>3.1455483161313635E-2</v>
      </c>
      <c r="J14" s="106">
        <f t="shared" si="9"/>
        <v>1034.6122245719316</v>
      </c>
      <c r="K14" s="105">
        <f t="shared" si="5"/>
        <v>0.14769765599272477</v>
      </c>
      <c r="L14" s="106">
        <f>D14*$E$25</f>
        <v>2501.6760590549661</v>
      </c>
      <c r="M14" s="106">
        <f t="shared" si="6"/>
        <v>76.291638791316018</v>
      </c>
    </row>
    <row r="16" spans="2:14">
      <c r="J16" t="s">
        <v>47</v>
      </c>
      <c r="N16" t="s">
        <v>47</v>
      </c>
    </row>
    <row r="17" spans="2:15">
      <c r="B17" s="6" t="s">
        <v>156</v>
      </c>
      <c r="C17" s="6" t="s">
        <v>217</v>
      </c>
      <c r="D17" s="6" t="s">
        <v>219</v>
      </c>
      <c r="E17" s="6" t="s">
        <v>220</v>
      </c>
      <c r="F17" s="6" t="s">
        <v>218</v>
      </c>
    </row>
    <row r="18" spans="2:15">
      <c r="B18" s="88">
        <f>C5</f>
        <v>2021</v>
      </c>
      <c r="C18" s="51">
        <f>ABS(BL!Q26)/BL!J13</f>
        <v>3.1411886596967128E-2</v>
      </c>
      <c r="D18" s="7">
        <f>(BL!C15+BL!C17+BL!C20+BL!C19)-(BL!C38+BL!C43+BL!C44+BL!C42+BL!C45)</f>
        <v>1815</v>
      </c>
      <c r="E18" s="51">
        <f>D18/BL!J13</f>
        <v>8.5476123198643686E-2</v>
      </c>
      <c r="F18" s="51">
        <f>BL!Q$14/BL!J$13</f>
        <v>5.4111330884430632E-2</v>
      </c>
    </row>
    <row r="19" spans="2:15">
      <c r="B19" s="88">
        <f t="shared" ref="B19:B22" si="11">C6</f>
        <v>2022</v>
      </c>
      <c r="C19" s="51">
        <f>ABS(BL!R26)/BL!K13</f>
        <v>3.087379503353916E-2</v>
      </c>
      <c r="D19" s="7">
        <f>(SUM(BL!D15,BL!D17,BL!D19,BL!D20)-(SUM(BL!D38,BL!D42,BL!D43,BL!D45,BL!D44)))</f>
        <v>2457</v>
      </c>
      <c r="E19" s="51">
        <f>D19/BL!K13</f>
        <v>0.10914663942072765</v>
      </c>
      <c r="F19" s="51">
        <f>BL!R14/BL!K13</f>
        <v>6.1081249167073873E-2</v>
      </c>
      <c r="H19" t="s">
        <v>47</v>
      </c>
      <c r="N19" t="s">
        <v>451</v>
      </c>
    </row>
    <row r="20" spans="2:15">
      <c r="B20" s="88">
        <f t="shared" si="11"/>
        <v>2023</v>
      </c>
      <c r="C20" s="51">
        <f>ABS(BL!S26)/BL!L13</f>
        <v>2.3521724926494611E-2</v>
      </c>
      <c r="D20" s="7">
        <f>(SUM(BL!E15,BL!E17,BL!E19,BL!E20)-(SUM(BL!E38,BL!E42,BL!E43,BL!E45,BL!E44)))</f>
        <v>1214</v>
      </c>
      <c r="E20" s="51">
        <f>D20/BL!L13</f>
        <v>5.6657488215802493E-2</v>
      </c>
      <c r="F20" s="51">
        <f>BL!S14/BL!L13</f>
        <v>5.656414803752275E-2</v>
      </c>
    </row>
    <row r="21" spans="2:15">
      <c r="B21" s="88">
        <f t="shared" si="11"/>
        <v>2024</v>
      </c>
      <c r="C21" s="51">
        <f>ABS(BL!T26)/BL!M13</f>
        <v>2.2801165392897858E-2</v>
      </c>
      <c r="D21" s="7">
        <f>(BL!F15+BL!F17+BL!F19+BL!F20)-(BL!F38+BL!F42+BL!F43+BL!F45+BL!F44)</f>
        <v>508</v>
      </c>
      <c r="E21" s="51">
        <f>(ABS(D21)/BL!M13)</f>
        <v>2.1449985221466874E-2</v>
      </c>
      <c r="F21" s="51">
        <f>BL!T14/BL!M13</f>
        <v>5.1007051471519654E-2</v>
      </c>
      <c r="K21" t="s">
        <v>47</v>
      </c>
    </row>
    <row r="22" spans="2:15">
      <c r="B22" s="88">
        <f t="shared" si="11"/>
        <v>2025</v>
      </c>
      <c r="C22" s="51">
        <f>ABS(BL!U26)/BL!N13</f>
        <v>1.9225343597597838E-2</v>
      </c>
      <c r="D22" s="7">
        <f>(BL!G15+BL!G17+BL!G19+BL!G20)-(BL!G38+BL!G42+BL!G43+BL!G45+BL!G44)</f>
        <v>2521</v>
      </c>
      <c r="E22" s="51">
        <f>D22/BL!N13</f>
        <v>0.10160815767200032</v>
      </c>
      <c r="F22" s="51">
        <f>BL!U14/BL!N13</f>
        <v>4.6511627906976744E-2</v>
      </c>
      <c r="J22" t="s">
        <v>47</v>
      </c>
    </row>
    <row r="23" spans="2:15">
      <c r="C23" s="51"/>
      <c r="O23" t="s">
        <v>47</v>
      </c>
    </row>
    <row r="24" spans="2:15">
      <c r="B24" s="6" t="s">
        <v>193</v>
      </c>
      <c r="C24" s="51">
        <f>AVERAGE(C18:C22)</f>
        <v>2.5566783109499319E-2</v>
      </c>
      <c r="D24" s="7">
        <f t="shared" ref="D24" si="12">AVERAGE(D18:D22)</f>
        <v>1703</v>
      </c>
      <c r="E24" s="51">
        <f>AVERAGE(E18:E22)</f>
        <v>7.4867678745728194E-2</v>
      </c>
      <c r="F24" s="51">
        <f>AVERAGE(F18:F22)</f>
        <v>5.3855081493504729E-2</v>
      </c>
      <c r="N24" t="s">
        <v>47</v>
      </c>
    </row>
    <row r="25" spans="2:15">
      <c r="B25" s="6" t="s">
        <v>137</v>
      </c>
      <c r="C25" s="51">
        <f>MEDIAN(C18:C22)</f>
        <v>2.3521724926494611E-2</v>
      </c>
      <c r="D25" s="7">
        <f t="shared" ref="D25" si="13">MEDIAN(D18:D22)</f>
        <v>1815</v>
      </c>
      <c r="E25" s="51">
        <f>MEDIAN(E18:E22)</f>
        <v>8.5476123198643686E-2</v>
      </c>
      <c r="F25" s="51">
        <f>MEDIAN(F18:F22)</f>
        <v>5.4111330884430632E-2</v>
      </c>
    </row>
    <row r="27" spans="2:15">
      <c r="I27" t="s">
        <v>47</v>
      </c>
    </row>
  </sheetData>
  <pageMargins left="0.7" right="0.7" top="0.75" bottom="0.75" header="0.3" footer="0.3"/>
  <ignoredErrors>
    <ignoredError sqref="H11:H14 F10:F14" 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C6C11-49F1-49E7-B686-BB6E19ED442F}">
  <dimension ref="A1:K36"/>
  <sheetViews>
    <sheetView showGridLines="0" topLeftCell="A2" zoomScale="61" workbookViewId="0">
      <selection activeCell="M32" sqref="M32"/>
    </sheetView>
  </sheetViews>
  <sheetFormatPr defaultRowHeight="14.4"/>
  <cols>
    <col min="1" max="1" width="3.5546875" customWidth="1"/>
    <col min="2" max="2" width="22.6640625" customWidth="1"/>
    <col min="4" max="4" width="18.33203125" bestFit="1" customWidth="1"/>
    <col min="5" max="5" width="25.77734375" bestFit="1" customWidth="1"/>
    <col min="9" max="9" width="12.33203125" bestFit="1" customWidth="1"/>
  </cols>
  <sheetData>
    <row r="1" spans="1:10">
      <c r="A1" s="1"/>
      <c r="B1" s="1"/>
      <c r="C1" s="1"/>
      <c r="D1" s="1"/>
      <c r="E1" s="1"/>
      <c r="F1" s="1"/>
      <c r="G1" s="1"/>
      <c r="H1" s="1"/>
    </row>
    <row r="2" spans="1:10" ht="17.399999999999999">
      <c r="A2" s="1"/>
      <c r="B2" s="79"/>
      <c r="C2" s="234" t="s">
        <v>159</v>
      </c>
      <c r="D2" s="234"/>
      <c r="E2" s="234"/>
      <c r="F2" s="234"/>
      <c r="G2" s="234"/>
      <c r="H2" s="79"/>
    </row>
    <row r="3" spans="1:10" ht="17.399999999999999">
      <c r="A3" s="1"/>
      <c r="B3" s="79"/>
      <c r="C3" s="234"/>
      <c r="D3" s="234"/>
      <c r="E3" s="234"/>
      <c r="F3" s="234"/>
      <c r="G3" s="234"/>
      <c r="H3" s="79"/>
    </row>
    <row r="4" spans="1:10" ht="17.399999999999999">
      <c r="A4" s="1"/>
      <c r="B4" s="79"/>
      <c r="C4" s="79"/>
      <c r="D4" s="79"/>
      <c r="E4" s="79"/>
      <c r="F4" s="79"/>
      <c r="G4" s="79"/>
      <c r="H4" s="79"/>
    </row>
    <row r="5" spans="1:10">
      <c r="A5" s="1"/>
      <c r="B5" s="1"/>
      <c r="C5" s="1"/>
      <c r="D5" s="1"/>
      <c r="E5" s="1"/>
      <c r="F5" s="1"/>
      <c r="G5" s="1"/>
      <c r="H5" s="1"/>
    </row>
    <row r="7" spans="1:10">
      <c r="B7" t="s">
        <v>160</v>
      </c>
    </row>
    <row r="9" spans="1:10" ht="16.2">
      <c r="B9" s="6" t="s">
        <v>161</v>
      </c>
      <c r="C9" s="6" t="s">
        <v>165</v>
      </c>
      <c r="D9" t="s">
        <v>174</v>
      </c>
      <c r="E9" t="s">
        <v>175</v>
      </c>
      <c r="F9" t="s">
        <v>171</v>
      </c>
      <c r="G9" t="s">
        <v>169</v>
      </c>
      <c r="H9" t="s">
        <v>170</v>
      </c>
      <c r="I9" t="s">
        <v>176</v>
      </c>
      <c r="J9" t="s">
        <v>177</v>
      </c>
    </row>
    <row r="10" spans="1:10">
      <c r="B10" t="s">
        <v>178</v>
      </c>
      <c r="C10" t="s">
        <v>167</v>
      </c>
      <c r="D10" s="7">
        <f>BL!G37+BL!G39+BL!G48+BL!G49</f>
        <v>5554</v>
      </c>
      <c r="E10" s="7">
        <f>180*136.9</f>
        <v>24642</v>
      </c>
      <c r="F10" s="50">
        <v>0.3</v>
      </c>
      <c r="G10" s="51">
        <f>D10/E10</f>
        <v>0.22538754971187402</v>
      </c>
      <c r="H10" s="51">
        <f>D10/(D10+E10)</f>
        <v>0.1839316465757054</v>
      </c>
      <c r="I10" s="7">
        <f ca="1">Beta!D3</f>
        <v>1.1918197566300828</v>
      </c>
      <c r="J10" s="7">
        <f ca="1">I10/((1+(1-F10)*G10))</f>
        <v>1.029408633880311</v>
      </c>
    </row>
    <row r="11" spans="1:10">
      <c r="B11" t="s">
        <v>162</v>
      </c>
      <c r="C11" t="s">
        <v>166</v>
      </c>
      <c r="D11" s="7">
        <v>11018</v>
      </c>
      <c r="E11" s="7">
        <f>1476*44.63</f>
        <v>65873.88</v>
      </c>
      <c r="F11" s="50">
        <v>0.25</v>
      </c>
      <c r="G11" s="51">
        <f>D11/E11</f>
        <v>0.16725901070348367</v>
      </c>
      <c r="H11" s="51">
        <f>D11/(D11+E11)</f>
        <v>0.14329211354957117</v>
      </c>
      <c r="I11" s="7">
        <f ca="1">Beta!D4</f>
        <v>1.3273925611127986</v>
      </c>
      <c r="J11" s="7">
        <f t="shared" ref="J11:J14" ca="1" si="0">I11/((1+(1-F11)*G11))</f>
        <v>1.1794387430960895</v>
      </c>
    </row>
    <row r="12" spans="1:10">
      <c r="B12" t="s">
        <v>163</v>
      </c>
      <c r="C12" t="s">
        <v>167</v>
      </c>
      <c r="D12" s="7">
        <v>2582.3000000000002</v>
      </c>
      <c r="E12" s="7">
        <f>147.21*22.91</f>
        <v>3372.5811000000003</v>
      </c>
      <c r="F12" s="50">
        <v>0.3</v>
      </c>
      <c r="G12" s="51">
        <f t="shared" ref="G12:G14" si="1">D12/E12</f>
        <v>0.76567469348624406</v>
      </c>
      <c r="H12" s="51">
        <f t="shared" ref="H12:H14" si="2">D12/(D12+E12)</f>
        <v>0.43364425865698647</v>
      </c>
      <c r="I12" s="7">
        <f ca="1">Beta!D5</f>
        <v>0.81844249904145805</v>
      </c>
      <c r="J12" s="7">
        <f t="shared" ca="1" si="0"/>
        <v>0.53284978303290587</v>
      </c>
    </row>
    <row r="13" spans="1:10">
      <c r="B13" t="s">
        <v>164</v>
      </c>
      <c r="C13" t="s">
        <v>166</v>
      </c>
      <c r="D13" s="7">
        <v>1299.452</v>
      </c>
      <c r="E13" s="7">
        <v>2385.56</v>
      </c>
      <c r="F13" s="50">
        <v>0.25</v>
      </c>
      <c r="G13" s="51">
        <f>D13/E13</f>
        <v>0.54471570616542864</v>
      </c>
      <c r="H13" s="51">
        <f t="shared" si="2"/>
        <v>0.3526316874951832</v>
      </c>
      <c r="I13" s="7">
        <f ca="1">Beta!D6</f>
        <v>0.83850959255474378</v>
      </c>
      <c r="J13" s="7">
        <f t="shared" ca="1" si="0"/>
        <v>0.59530542949580345</v>
      </c>
    </row>
    <row r="14" spans="1:10">
      <c r="B14" t="s">
        <v>172</v>
      </c>
      <c r="C14" t="s">
        <v>173</v>
      </c>
      <c r="D14" s="7">
        <v>98529</v>
      </c>
      <c r="E14" s="7">
        <f>734.48294*4353</f>
        <v>3197204.2378199999</v>
      </c>
      <c r="F14" s="50">
        <v>0.31</v>
      </c>
      <c r="G14" s="51">
        <f t="shared" si="1"/>
        <v>3.0817236770329562E-2</v>
      </c>
      <c r="H14" s="51">
        <f t="shared" si="2"/>
        <v>2.989592691220759E-2</v>
      </c>
      <c r="I14" s="7">
        <f ca="1">Beta!D7</f>
        <v>0.96777736884545029</v>
      </c>
      <c r="J14" s="7">
        <f t="shared" ca="1" si="0"/>
        <v>0.94762712666801474</v>
      </c>
    </row>
    <row r="16" spans="1:10">
      <c r="E16" s="99" t="s">
        <v>193</v>
      </c>
      <c r="F16" s="95">
        <f>AVERAGE(F10:F14)</f>
        <v>0.28200000000000003</v>
      </c>
      <c r="G16" s="95">
        <f t="shared" ref="G16:J16" si="3">AVERAGE(G10:G14)</f>
        <v>0.34677083936747205</v>
      </c>
      <c r="H16" s="95">
        <f t="shared" si="3"/>
        <v>0.22867912663793075</v>
      </c>
      <c r="I16" s="96">
        <f t="shared" ca="1" si="3"/>
        <v>1.0287883556369066</v>
      </c>
      <c r="J16" s="96">
        <f t="shared" ca="1" si="3"/>
        <v>0.85692594323462501</v>
      </c>
    </row>
    <row r="17" spans="2:11">
      <c r="E17" s="100" t="s">
        <v>137</v>
      </c>
      <c r="F17" s="97">
        <f>MEDIAN(F10:F14)</f>
        <v>0.3</v>
      </c>
      <c r="G17" s="97">
        <f t="shared" ref="G17:J17" si="4">MEDIAN(G10:G14)</f>
        <v>0.22538754971187402</v>
      </c>
      <c r="H17" s="97">
        <f t="shared" si="4"/>
        <v>0.1839316465757054</v>
      </c>
      <c r="I17" s="98">
        <f t="shared" ca="1" si="4"/>
        <v>0.96777736884545029</v>
      </c>
      <c r="J17" s="98">
        <f t="shared" ca="1" si="4"/>
        <v>0.94762712666801474</v>
      </c>
    </row>
    <row r="20" spans="2:11">
      <c r="B20" s="6" t="s">
        <v>194</v>
      </c>
      <c r="E20" s="6" t="s">
        <v>201</v>
      </c>
      <c r="I20" s="6" t="s">
        <v>159</v>
      </c>
    </row>
    <row r="21" spans="2:11">
      <c r="B21" s="94"/>
      <c r="C21" s="94"/>
      <c r="E21" s="94"/>
      <c r="F21" s="94"/>
    </row>
    <row r="22" spans="2:11">
      <c r="B22" t="s">
        <v>197</v>
      </c>
      <c r="C22" s="101">
        <v>0.03</v>
      </c>
      <c r="E22" t="s">
        <v>202</v>
      </c>
      <c r="F22" s="101">
        <f>C22</f>
        <v>0.03</v>
      </c>
      <c r="J22" t="s">
        <v>213</v>
      </c>
      <c r="K22" t="s">
        <v>214</v>
      </c>
    </row>
    <row r="23" spans="2:11">
      <c r="B23" t="s">
        <v>195</v>
      </c>
      <c r="C23" s="53">
        <f>BL!N24/BL!N26</f>
        <v>6.6322580645161286</v>
      </c>
      <c r="E23" t="s">
        <v>203</v>
      </c>
      <c r="F23" s="101">
        <v>4.2299999999999997E-2</v>
      </c>
      <c r="I23" t="s">
        <v>212</v>
      </c>
      <c r="J23" s="51">
        <f>C27</f>
        <v>2.5899999999999996E-2</v>
      </c>
      <c r="K23" s="51">
        <f>C35</f>
        <v>0.1839316465757054</v>
      </c>
    </row>
    <row r="24" spans="2:11">
      <c r="B24" s="28" t="s">
        <v>196</v>
      </c>
      <c r="C24" s="52">
        <v>7.0000000000000001E-3</v>
      </c>
      <c r="E24" t="s">
        <v>204</v>
      </c>
      <c r="F24" s="51">
        <f>F22+F23</f>
        <v>7.2300000000000003E-2</v>
      </c>
      <c r="I24" t="s">
        <v>38</v>
      </c>
      <c r="J24" s="51">
        <f ca="1">F26</f>
        <v>7.640883063277637E-2</v>
      </c>
      <c r="K24" s="51">
        <f>C36</f>
        <v>0.81606835342429462</v>
      </c>
    </row>
    <row r="25" spans="2:11">
      <c r="B25" s="6" t="s">
        <v>198</v>
      </c>
      <c r="C25" s="82">
        <f>C22+C24</f>
        <v>3.6999999999999998E-2</v>
      </c>
      <c r="E25" t="s">
        <v>205</v>
      </c>
      <c r="F25" s="37">
        <f ca="1">F34</f>
        <v>1.0971354759521601</v>
      </c>
      <c r="I25" s="99" t="s">
        <v>215</v>
      </c>
      <c r="J25" s="99" t="s">
        <v>47</v>
      </c>
      <c r="K25" s="103">
        <f ca="1">SUMPRODUCT(J23:J24,K23:K24)</f>
        <v>6.7118658247876384E-2</v>
      </c>
    </row>
    <row r="26" spans="2:11">
      <c r="B26" s="6" t="s">
        <v>199</v>
      </c>
      <c r="C26" s="102">
        <f>F10</f>
        <v>0.3</v>
      </c>
      <c r="E26" s="99" t="s">
        <v>201</v>
      </c>
      <c r="F26" s="103">
        <f ca="1">F22+F25*(F24-F22)</f>
        <v>7.640883063277637E-2</v>
      </c>
    </row>
    <row r="27" spans="2:11">
      <c r="B27" s="99" t="s">
        <v>200</v>
      </c>
      <c r="C27" s="103">
        <f>C25*(1-C26)</f>
        <v>2.5899999999999996E-2</v>
      </c>
      <c r="I27" s="6"/>
      <c r="J27" s="6"/>
      <c r="K27" s="6"/>
    </row>
    <row r="29" spans="2:11">
      <c r="B29" s="100" t="s">
        <v>206</v>
      </c>
      <c r="E29" s="100" t="s">
        <v>205</v>
      </c>
      <c r="F29" s="100"/>
      <c r="K29" t="s">
        <v>47</v>
      </c>
    </row>
    <row r="31" spans="2:11">
      <c r="B31" s="36" t="s">
        <v>168</v>
      </c>
      <c r="C31" s="7">
        <f>D10</f>
        <v>5554</v>
      </c>
      <c r="E31" t="s">
        <v>211</v>
      </c>
      <c r="F31" s="7">
        <f ca="1">J17</f>
        <v>0.94762712666801474</v>
      </c>
    </row>
    <row r="32" spans="2:11">
      <c r="B32" s="28" t="s">
        <v>207</v>
      </c>
      <c r="C32" s="98">
        <f>E10</f>
        <v>24642</v>
      </c>
      <c r="E32" t="s">
        <v>169</v>
      </c>
      <c r="F32" s="51">
        <f>G10</f>
        <v>0.22538754971187402</v>
      </c>
      <c r="J32" t="s">
        <v>47</v>
      </c>
    </row>
    <row r="33" spans="2:10">
      <c r="B33" s="6" t="s">
        <v>208</v>
      </c>
      <c r="C33" s="8">
        <f>C31+C32</f>
        <v>30196</v>
      </c>
      <c r="E33" t="s">
        <v>199</v>
      </c>
      <c r="F33" s="50">
        <f>F10</f>
        <v>0.3</v>
      </c>
    </row>
    <row r="34" spans="2:10">
      <c r="E34" s="99" t="s">
        <v>205</v>
      </c>
      <c r="F34" s="24">
        <f ca="1">F31*(1+(1-F33)*F32)</f>
        <v>1.0971354759521601</v>
      </c>
    </row>
    <row r="35" spans="2:10">
      <c r="B35" s="6" t="s">
        <v>209</v>
      </c>
      <c r="C35" s="82">
        <f>C31/C33</f>
        <v>0.1839316465757054</v>
      </c>
      <c r="J35" t="s">
        <v>47</v>
      </c>
    </row>
    <row r="36" spans="2:10">
      <c r="B36" s="6" t="s">
        <v>210</v>
      </c>
      <c r="C36" s="82">
        <f>C32/C33</f>
        <v>0.81606835342429462</v>
      </c>
    </row>
  </sheetData>
  <mergeCells count="1">
    <mergeCell ref="C2:G3"/>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0C5D0-0049-4DAD-8585-DF6730D01456}">
  <dimension ref="A1:O27"/>
  <sheetViews>
    <sheetView showGridLines="0" topLeftCell="B5" zoomScale="85" workbookViewId="0">
      <selection activeCell="C15" sqref="C15"/>
    </sheetView>
  </sheetViews>
  <sheetFormatPr defaultRowHeight="14.4"/>
  <cols>
    <col min="1" max="1" width="4.77734375" customWidth="1"/>
    <col min="2" max="2" width="22.44140625" customWidth="1"/>
    <col min="3" max="3" width="10.21875" bestFit="1" customWidth="1"/>
    <col min="6" max="6" width="14.77734375" bestFit="1" customWidth="1"/>
    <col min="7" max="7" width="11" bestFit="1" customWidth="1"/>
    <col min="8" max="8" width="12.88671875" bestFit="1" customWidth="1"/>
    <col min="9" max="9" width="13.88671875" customWidth="1"/>
    <col min="10" max="12" width="11.21875" bestFit="1" customWidth="1"/>
  </cols>
  <sheetData>
    <row r="1" spans="1:15">
      <c r="A1" s="1"/>
      <c r="B1" s="1"/>
      <c r="C1" s="1"/>
      <c r="D1" s="1"/>
      <c r="E1" s="1"/>
      <c r="F1" s="1"/>
      <c r="G1" s="1"/>
      <c r="H1" s="1"/>
      <c r="I1" s="1"/>
    </row>
    <row r="2" spans="1:15">
      <c r="A2" s="1"/>
      <c r="B2" s="1"/>
      <c r="C2" s="238" t="s">
        <v>226</v>
      </c>
      <c r="D2" s="238"/>
      <c r="E2" s="238"/>
      <c r="F2" s="238"/>
      <c r="G2" s="238"/>
      <c r="H2" s="238"/>
      <c r="I2" s="238"/>
    </row>
    <row r="3" spans="1:15">
      <c r="A3" s="1"/>
      <c r="B3" s="1"/>
      <c r="C3" s="238"/>
      <c r="D3" s="238"/>
      <c r="E3" s="238"/>
      <c r="F3" s="238"/>
      <c r="G3" s="238"/>
      <c r="H3" s="238"/>
      <c r="I3" s="238"/>
    </row>
    <row r="4" spans="1:15">
      <c r="A4" s="1"/>
      <c r="B4" s="1"/>
      <c r="C4" s="238"/>
      <c r="D4" s="238"/>
      <c r="E4" s="238"/>
      <c r="F4" s="238"/>
      <c r="G4" s="238"/>
      <c r="H4" s="238"/>
      <c r="I4" s="238"/>
    </row>
    <row r="5" spans="1:15">
      <c r="A5" s="1"/>
      <c r="B5" s="1"/>
      <c r="C5" s="1"/>
      <c r="D5" s="1"/>
      <c r="E5" s="1"/>
      <c r="F5" s="1"/>
      <c r="G5" s="1"/>
      <c r="H5" s="1"/>
      <c r="I5" s="1"/>
    </row>
    <row r="8" spans="1:15">
      <c r="B8" s="100" t="s">
        <v>227</v>
      </c>
      <c r="C8" s="28"/>
      <c r="F8" s="6" t="s">
        <v>234</v>
      </c>
    </row>
    <row r="9" spans="1:15">
      <c r="B9" t="s">
        <v>199</v>
      </c>
      <c r="C9" s="107">
        <f>WACC!F10</f>
        <v>0.3</v>
      </c>
      <c r="F9" s="108" t="s">
        <v>156</v>
      </c>
      <c r="G9" s="108">
        <v>2025</v>
      </c>
      <c r="H9" s="108">
        <v>2026</v>
      </c>
      <c r="I9" s="108">
        <v>2027</v>
      </c>
      <c r="J9" s="108">
        <v>2028</v>
      </c>
      <c r="K9" s="108">
        <v>2029</v>
      </c>
      <c r="L9" s="108">
        <v>2030</v>
      </c>
    </row>
    <row r="10" spans="1:15">
      <c r="B10" t="s">
        <v>228</v>
      </c>
      <c r="C10" s="107">
        <f ca="1">WACC!K25</f>
        <v>6.7118658247876384E-2</v>
      </c>
      <c r="G10">
        <v>0</v>
      </c>
      <c r="H10">
        <v>1</v>
      </c>
      <c r="I10">
        <v>2</v>
      </c>
      <c r="J10">
        <v>3</v>
      </c>
      <c r="K10">
        <v>4</v>
      </c>
      <c r="L10">
        <v>5</v>
      </c>
    </row>
    <row r="11" spans="1:15">
      <c r="B11" t="s">
        <v>229</v>
      </c>
      <c r="C11" s="101">
        <v>0.02</v>
      </c>
      <c r="F11" t="s">
        <v>216</v>
      </c>
      <c r="G11" s="7">
        <f>Projection!F9</f>
        <v>2056</v>
      </c>
      <c r="H11" s="7" cm="1">
        <f t="array" ref="H11:L11">TRANSPOSE(Projection!F10:F14)</f>
        <v>1827.0144708107132</v>
      </c>
      <c r="I11" s="7">
        <v>1964.2099388922265</v>
      </c>
      <c r="J11" s="7">
        <v>2101.4054069737394</v>
      </c>
      <c r="K11" s="7">
        <v>2238.6008750552528</v>
      </c>
      <c r="L11" s="7">
        <v>2375.7963431367662</v>
      </c>
    </row>
    <row r="12" spans="1:15">
      <c r="B12" t="s">
        <v>230</v>
      </c>
      <c r="C12" s="13">
        <v>134.9</v>
      </c>
      <c r="F12" t="s">
        <v>199</v>
      </c>
      <c r="G12" s="51">
        <f>$C$9</f>
        <v>0.3</v>
      </c>
      <c r="H12" s="51">
        <f t="shared" ref="H12:L12" si="0">$C$9</f>
        <v>0.3</v>
      </c>
      <c r="I12" s="51">
        <f t="shared" si="0"/>
        <v>0.3</v>
      </c>
      <c r="J12" s="51">
        <f t="shared" si="0"/>
        <v>0.3</v>
      </c>
      <c r="K12" s="51">
        <f t="shared" si="0"/>
        <v>0.3</v>
      </c>
      <c r="L12" s="51">
        <f t="shared" si="0"/>
        <v>0.3</v>
      </c>
    </row>
    <row r="13" spans="1:15">
      <c r="B13" t="s">
        <v>233</v>
      </c>
      <c r="C13" s="13">
        <v>180000</v>
      </c>
      <c r="F13" t="s">
        <v>223</v>
      </c>
      <c r="G13" s="7">
        <f>Projection!J9</f>
        <v>1154</v>
      </c>
      <c r="H13" s="7" cm="1">
        <f t="array" ref="H13:L13">TRANSPOSE(Projection!J10:J14)</f>
        <v>1194.489924458263</v>
      </c>
      <c r="I13" s="7">
        <v>981.40642650366874</v>
      </c>
      <c r="J13" s="7">
        <v>1114.5510745150973</v>
      </c>
      <c r="K13" s="7">
        <v>901.46757656050306</v>
      </c>
      <c r="L13" s="7">
        <v>1034.6122245719316</v>
      </c>
    </row>
    <row r="14" spans="1:15">
      <c r="B14" t="s">
        <v>231</v>
      </c>
      <c r="C14" s="35">
        <f>WACC!D10</f>
        <v>5554</v>
      </c>
      <c r="F14" t="s">
        <v>87</v>
      </c>
      <c r="G14" s="7">
        <f>Projection!H9</f>
        <v>-477</v>
      </c>
      <c r="H14" s="7" cm="1">
        <f t="array" ref="H14:L14">TRANSPOSE(Projection!H10:H14)</f>
        <v>-604.44590156312267</v>
      </c>
      <c r="I14" s="7">
        <v>-625.44019651576627</v>
      </c>
      <c r="J14" s="7">
        <v>-646.43449146840965</v>
      </c>
      <c r="K14" s="7">
        <v>-667.42878642105313</v>
      </c>
      <c r="L14" s="7">
        <v>-688.42308137369662</v>
      </c>
    </row>
    <row r="15" spans="1:15" ht="15" thickBot="1">
      <c r="B15" t="s">
        <v>232</v>
      </c>
      <c r="C15" s="35">
        <f>BL!G13</f>
        <v>1617</v>
      </c>
      <c r="F15" t="s">
        <v>221</v>
      </c>
      <c r="G15" s="7">
        <f>Projection!M9</f>
        <v>2013</v>
      </c>
      <c r="H15" s="7" cm="1">
        <f t="array" ref="H15:L15">TRANSPOSE(Projection!M10:M14)</f>
        <v>-324.4904961102975</v>
      </c>
      <c r="I15" s="7">
        <v>76.291638791316018</v>
      </c>
      <c r="J15" s="7">
        <v>76.291638791316018</v>
      </c>
      <c r="K15" s="7">
        <v>76.291638791315563</v>
      </c>
      <c r="L15" s="7">
        <v>76.291638791316018</v>
      </c>
    </row>
    <row r="16" spans="1:15" ht="15" thickTop="1">
      <c r="F16" s="109" t="s">
        <v>235</v>
      </c>
      <c r="G16" s="110">
        <f>G11*(1-G12)+G13+G14-G15</f>
        <v>103.19999999999982</v>
      </c>
      <c r="H16" s="110">
        <f t="shared" ref="H16:L16" si="1">H11*(1-H12)+H13+H14-H15</f>
        <v>2193.4446485729368</v>
      </c>
      <c r="I16" s="110">
        <f t="shared" si="1"/>
        <v>1654.6215484211448</v>
      </c>
      <c r="J16" s="110">
        <f t="shared" si="1"/>
        <v>1862.8087291369889</v>
      </c>
      <c r="K16" s="110">
        <f t="shared" si="1"/>
        <v>1724.7677638868113</v>
      </c>
      <c r="L16" s="110">
        <f t="shared" si="1"/>
        <v>1932.9549446026554</v>
      </c>
      <c r="O16" t="s">
        <v>47</v>
      </c>
    </row>
    <row r="18" spans="4:14">
      <c r="F18" s="100" t="s">
        <v>239</v>
      </c>
      <c r="G18" s="28"/>
      <c r="I18" s="28" t="s">
        <v>240</v>
      </c>
      <c r="J18" s="28"/>
      <c r="L18" s="111" t="s">
        <v>245</v>
      </c>
      <c r="M18" s="11"/>
      <c r="N18" s="112">
        <f ca="1">J23*1000000/(C13*1000)</f>
        <v>189.27938898786499</v>
      </c>
    </row>
    <row r="20" spans="4:14">
      <c r="F20" s="36" t="s">
        <v>236</v>
      </c>
      <c r="G20" s="37">
        <f ca="1">((L16*(1+C11))/(C10-C11))</f>
        <v>41843.594805324668</v>
      </c>
      <c r="I20" t="s">
        <v>241</v>
      </c>
      <c r="J20" s="7">
        <f ca="1">G23</f>
        <v>38007.2900178157</v>
      </c>
      <c r="L20" t="s">
        <v>246</v>
      </c>
    </row>
    <row r="21" spans="4:14">
      <c r="F21" s="36" t="s">
        <v>237</v>
      </c>
      <c r="G21" s="37">
        <f ca="1">-PV(C10,5,0,G20)</f>
        <v>30238.860433295085</v>
      </c>
      <c r="I21" t="s">
        <v>243</v>
      </c>
      <c r="J21" s="7">
        <f>C15</f>
        <v>1617</v>
      </c>
    </row>
    <row r="22" spans="4:14">
      <c r="F22" s="36" t="s">
        <v>238</v>
      </c>
      <c r="G22" s="37">
        <f ca="1">NPV(C10,H16:L16)</f>
        <v>7768.4295845206143</v>
      </c>
      <c r="I22" t="s">
        <v>244</v>
      </c>
      <c r="J22" s="7">
        <f>C14</f>
        <v>5554</v>
      </c>
      <c r="M22" t="s">
        <v>47</v>
      </c>
    </row>
    <row r="23" spans="4:14">
      <c r="F23" s="99" t="s">
        <v>239</v>
      </c>
      <c r="G23" s="24">
        <f ca="1">G21+G22</f>
        <v>38007.2900178157</v>
      </c>
      <c r="I23" s="99" t="s">
        <v>242</v>
      </c>
      <c r="J23" s="24">
        <f ca="1">J20+J21-J22</f>
        <v>34070.2900178157</v>
      </c>
      <c r="L23" t="s">
        <v>47</v>
      </c>
    </row>
    <row r="24" spans="4:14">
      <c r="D24" t="s">
        <v>47</v>
      </c>
    </row>
    <row r="27" spans="4:14">
      <c r="J27" t="s">
        <v>47</v>
      </c>
    </row>
  </sheetData>
  <mergeCells count="1">
    <mergeCell ref="C2:I4"/>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C57DB-3286-4C7C-8116-415B995FA84C}">
  <dimension ref="A1:P326"/>
  <sheetViews>
    <sheetView showGridLines="0" tabSelected="1" topLeftCell="A309" zoomScale="103" zoomScaleNormal="124" workbookViewId="0">
      <selection activeCell="M282" sqref="M282"/>
    </sheetView>
  </sheetViews>
  <sheetFormatPr defaultRowHeight="14.4"/>
  <cols>
    <col min="1" max="1" width="2" customWidth="1"/>
    <col min="2" max="2" width="25.6640625" bestFit="1" customWidth="1"/>
    <col min="3" max="3" width="10.109375" bestFit="1" customWidth="1"/>
    <col min="4" max="4" width="11" customWidth="1"/>
    <col min="5" max="5" width="11.44140625" customWidth="1"/>
    <col min="6" max="6" width="11.77734375" customWidth="1"/>
    <col min="7" max="7" width="11.21875" customWidth="1"/>
    <col min="8" max="8" width="11.6640625" customWidth="1"/>
    <col min="9" max="9" width="11.109375" customWidth="1"/>
  </cols>
  <sheetData>
    <row r="1" spans="1:8">
      <c r="A1" s="1"/>
      <c r="B1" s="1"/>
      <c r="C1" s="1"/>
      <c r="D1" s="1"/>
      <c r="E1" s="1"/>
      <c r="F1" s="1"/>
      <c r="G1" s="1"/>
      <c r="H1" s="1"/>
    </row>
    <row r="2" spans="1:8" ht="17.399999999999999">
      <c r="A2" s="1"/>
      <c r="B2" s="79"/>
      <c r="C2" s="234" t="s">
        <v>159</v>
      </c>
      <c r="D2" s="234"/>
      <c r="E2" s="234"/>
      <c r="F2" s="234"/>
      <c r="G2" s="234"/>
      <c r="H2" s="79"/>
    </row>
    <row r="3" spans="1:8" ht="17.399999999999999">
      <c r="A3" s="1"/>
      <c r="B3" s="79"/>
      <c r="C3" s="234"/>
      <c r="D3" s="234"/>
      <c r="E3" s="234"/>
      <c r="F3" s="234"/>
      <c r="G3" s="234"/>
      <c r="H3" s="79"/>
    </row>
    <row r="4" spans="1:8" ht="17.399999999999999">
      <c r="A4" s="1"/>
      <c r="B4" s="79"/>
      <c r="C4" s="79"/>
      <c r="D4" s="79"/>
      <c r="E4" s="79"/>
      <c r="F4" s="79"/>
      <c r="G4" s="79"/>
      <c r="H4" s="79"/>
    </row>
    <row r="5" spans="1:8">
      <c r="A5" s="1"/>
      <c r="B5" s="1"/>
      <c r="C5" s="1"/>
      <c r="D5" s="1"/>
      <c r="E5" s="1"/>
      <c r="F5" s="1"/>
      <c r="G5" s="1"/>
      <c r="H5" s="1"/>
    </row>
    <row r="6" spans="1:8" ht="15" thickBot="1"/>
    <row r="7" spans="1:8" ht="15.6" thickTop="1" thickBot="1">
      <c r="B7" s="114" t="s">
        <v>247</v>
      </c>
      <c r="C7" s="113"/>
      <c r="D7" s="113"/>
      <c r="E7" s="113"/>
      <c r="F7" s="113"/>
      <c r="G7" s="113"/>
      <c r="H7" s="113"/>
    </row>
    <row r="8" spans="1:8" ht="15" thickTop="1">
      <c r="B8" s="38" t="s">
        <v>271</v>
      </c>
    </row>
    <row r="10" spans="1:8">
      <c r="C10" s="6" t="s">
        <v>248</v>
      </c>
    </row>
    <row r="12" spans="1:8">
      <c r="B12" s="115" t="s">
        <v>249</v>
      </c>
      <c r="C12" s="116"/>
      <c r="E12" s="115" t="s">
        <v>253</v>
      </c>
      <c r="F12" s="115"/>
      <c r="G12" s="115"/>
      <c r="H12" s="116"/>
    </row>
    <row r="13" spans="1:8">
      <c r="B13" t="s">
        <v>250</v>
      </c>
      <c r="C13" s="35">
        <f>BL!N22</f>
        <v>3210</v>
      </c>
      <c r="E13" t="s">
        <v>254</v>
      </c>
      <c r="H13" s="121">
        <v>411.39</v>
      </c>
    </row>
    <row r="14" spans="1:8">
      <c r="B14" s="28" t="s">
        <v>251</v>
      </c>
      <c r="C14" s="119">
        <v>9</v>
      </c>
      <c r="E14" t="s">
        <v>255</v>
      </c>
      <c r="H14" s="121">
        <v>500</v>
      </c>
    </row>
    <row r="15" spans="1:8">
      <c r="B15" s="6" t="s">
        <v>252</v>
      </c>
      <c r="C15" s="8">
        <f>C13*C14</f>
        <v>28890</v>
      </c>
      <c r="E15" t="s">
        <v>256</v>
      </c>
      <c r="H15" s="122">
        <v>0.15</v>
      </c>
    </row>
    <row r="16" spans="1:8">
      <c r="E16" t="s">
        <v>419</v>
      </c>
      <c r="H16" s="123">
        <v>5</v>
      </c>
    </row>
    <row r="17" spans="2:16">
      <c r="E17" t="s">
        <v>199</v>
      </c>
      <c r="H17" s="122">
        <v>0.3</v>
      </c>
    </row>
    <row r="18" spans="2:16">
      <c r="H18" s="124"/>
    </row>
    <row r="19" spans="2:16">
      <c r="E19" t="s">
        <v>257</v>
      </c>
      <c r="H19" s="124">
        <v>1</v>
      </c>
    </row>
    <row r="21" spans="2:16">
      <c r="B21" s="17" t="s">
        <v>258</v>
      </c>
      <c r="C21" s="17"/>
      <c r="D21" s="17"/>
      <c r="E21" s="17"/>
      <c r="F21" s="17"/>
      <c r="G21" s="17"/>
      <c r="H21" s="17"/>
      <c r="I21" s="17"/>
    </row>
    <row r="22" spans="2:16">
      <c r="B22" s="127" t="s">
        <v>259</v>
      </c>
      <c r="C22" s="126" t="s">
        <v>264</v>
      </c>
      <c r="D22" s="127" t="s">
        <v>265</v>
      </c>
      <c r="E22" s="128" t="s">
        <v>379</v>
      </c>
      <c r="F22" s="128" t="s">
        <v>266</v>
      </c>
      <c r="G22" s="127" t="s">
        <v>270</v>
      </c>
      <c r="H22" s="127" t="s">
        <v>267</v>
      </c>
      <c r="I22" s="127" t="s">
        <v>267</v>
      </c>
    </row>
    <row r="23" spans="2:16">
      <c r="B23" t="s">
        <v>260</v>
      </c>
      <c r="C23" s="53">
        <v>0</v>
      </c>
      <c r="D23" s="125" t="s">
        <v>268</v>
      </c>
      <c r="E23" s="120">
        <f>C29 + 350</f>
        <v>570</v>
      </c>
      <c r="F23" s="125">
        <v>0</v>
      </c>
      <c r="G23" s="125" t="s">
        <v>268</v>
      </c>
      <c r="H23" s="125" t="s">
        <v>268</v>
      </c>
      <c r="I23" s="125" t="s">
        <v>268</v>
      </c>
      <c r="M23" t="s">
        <v>47</v>
      </c>
    </row>
    <row r="24" spans="2:16">
      <c r="B24" t="s">
        <v>261</v>
      </c>
      <c r="C24" s="53">
        <v>4.5</v>
      </c>
      <c r="D24" s="133">
        <f>C24*$C$13</f>
        <v>14445</v>
      </c>
      <c r="E24" s="120">
        <f>C29 + 350</f>
        <v>570</v>
      </c>
      <c r="F24" s="51">
        <v>5.0000000000000001E-3</v>
      </c>
      <c r="G24" s="129">
        <v>0.01</v>
      </c>
      <c r="H24" s="122">
        <v>2.5000000000000001E-2</v>
      </c>
      <c r="I24" s="7">
        <f>D24*H24</f>
        <v>361.125</v>
      </c>
    </row>
    <row r="25" spans="2:16">
      <c r="B25" t="s">
        <v>262</v>
      </c>
      <c r="C25" s="53">
        <v>1</v>
      </c>
      <c r="D25" s="133">
        <f t="shared" ref="D25:D26" si="0">C25*$C$13</f>
        <v>3210</v>
      </c>
      <c r="E25" s="51">
        <v>7.0000000000000007E-2</v>
      </c>
      <c r="F25" s="125" t="s">
        <v>268</v>
      </c>
      <c r="G25" s="125" t="s">
        <v>268</v>
      </c>
      <c r="H25" s="122">
        <v>2.5000000000000001E-2</v>
      </c>
      <c r="I25" s="7">
        <f t="shared" ref="I25:I26" si="1">D25*H25</f>
        <v>80.25</v>
      </c>
    </row>
    <row r="26" spans="2:16">
      <c r="B26" s="28" t="s">
        <v>263</v>
      </c>
      <c r="C26" s="117">
        <v>0.5</v>
      </c>
      <c r="D26" s="134">
        <f t="shared" si="0"/>
        <v>1605</v>
      </c>
      <c r="E26" s="97">
        <v>0.11</v>
      </c>
      <c r="F26" s="130" t="s">
        <v>268</v>
      </c>
      <c r="G26" s="130" t="s">
        <v>268</v>
      </c>
      <c r="H26" s="131">
        <v>2.5000000000000001E-2</v>
      </c>
      <c r="I26" s="98">
        <f t="shared" si="1"/>
        <v>40.125</v>
      </c>
    </row>
    <row r="27" spans="2:16">
      <c r="B27" t="s">
        <v>168</v>
      </c>
      <c r="C27" s="132">
        <f>SUM(C23:C26)</f>
        <v>6</v>
      </c>
      <c r="D27" s="135">
        <f>SUM(D23:D26)</f>
        <v>19260</v>
      </c>
      <c r="E27" s="6"/>
      <c r="F27" s="6"/>
      <c r="G27" s="6"/>
      <c r="H27" s="6"/>
      <c r="I27" s="8">
        <f>SUM(I23:I26)</f>
        <v>481.5</v>
      </c>
      <c r="M27" t="s">
        <v>47</v>
      </c>
      <c r="P27" t="s">
        <v>47</v>
      </c>
    </row>
    <row r="29" spans="2:16">
      <c r="B29" t="s">
        <v>269</v>
      </c>
      <c r="C29" s="124">
        <v>220</v>
      </c>
      <c r="J29" t="s">
        <v>47</v>
      </c>
    </row>
    <row r="31" spans="2:16">
      <c r="C31" s="6" t="s">
        <v>278</v>
      </c>
    </row>
    <row r="33" spans="2:11">
      <c r="B33" s="17" t="s">
        <v>279</v>
      </c>
      <c r="C33" s="17"/>
      <c r="D33" s="17"/>
      <c r="E33" s="17"/>
      <c r="F33" s="17"/>
      <c r="G33" s="17"/>
      <c r="H33" s="17"/>
      <c r="I33" s="17" t="s">
        <v>47</v>
      </c>
    </row>
    <row r="34" spans="2:11">
      <c r="B34" s="127" t="s">
        <v>272</v>
      </c>
      <c r="D34" s="127" t="s">
        <v>276</v>
      </c>
      <c r="F34" s="127" t="s">
        <v>277</v>
      </c>
      <c r="I34" s="127" t="s">
        <v>276</v>
      </c>
    </row>
    <row r="35" spans="2:11">
      <c r="B35" t="s">
        <v>260</v>
      </c>
      <c r="D35" s="125" t="s">
        <v>268</v>
      </c>
      <c r="F35" t="s">
        <v>283</v>
      </c>
      <c r="I35" s="7">
        <f>C15</f>
        <v>28890</v>
      </c>
    </row>
    <row r="36" spans="2:11">
      <c r="B36" t="s">
        <v>261</v>
      </c>
      <c r="D36" s="7">
        <f>D24</f>
        <v>14445</v>
      </c>
      <c r="F36" t="s">
        <v>255</v>
      </c>
      <c r="I36" s="7">
        <f>H14</f>
        <v>500</v>
      </c>
    </row>
    <row r="37" spans="2:11">
      <c r="B37" t="s">
        <v>262</v>
      </c>
      <c r="D37" s="7">
        <f>D25</f>
        <v>3210</v>
      </c>
      <c r="F37" t="s">
        <v>254</v>
      </c>
      <c r="I37" s="7">
        <f>H13</f>
        <v>411.39</v>
      </c>
    </row>
    <row r="38" spans="2:11">
      <c r="B38" s="28" t="s">
        <v>263</v>
      </c>
      <c r="C38" s="28"/>
      <c r="D38" s="98">
        <f>D26</f>
        <v>1605</v>
      </c>
      <c r="F38" s="28" t="s">
        <v>280</v>
      </c>
      <c r="G38" s="28"/>
      <c r="H38" s="28"/>
      <c r="I38" s="98">
        <f>I27</f>
        <v>481.5</v>
      </c>
    </row>
    <row r="39" spans="2:11">
      <c r="B39" s="6" t="s">
        <v>168</v>
      </c>
      <c r="D39" s="8">
        <f>SUM(D35:D38)</f>
        <v>19260</v>
      </c>
      <c r="F39" s="6" t="s">
        <v>281</v>
      </c>
      <c r="I39" s="8">
        <f>SUM(I35:I38)</f>
        <v>30282.89</v>
      </c>
    </row>
    <row r="40" spans="2:11">
      <c r="B40" t="s">
        <v>256</v>
      </c>
      <c r="D40" s="7">
        <f>D42*H15</f>
        <v>1653.4334999999999</v>
      </c>
    </row>
    <row r="41" spans="2:11">
      <c r="B41" s="28" t="s">
        <v>273</v>
      </c>
      <c r="C41" s="28"/>
      <c r="D41" s="98">
        <f>D42-D40</f>
        <v>9369.4565000000002</v>
      </c>
    </row>
    <row r="42" spans="2:11">
      <c r="B42" s="6" t="s">
        <v>274</v>
      </c>
      <c r="D42" s="8">
        <f>I39-D39</f>
        <v>11022.89</v>
      </c>
    </row>
    <row r="43" spans="2:11">
      <c r="K43" t="s">
        <v>47</v>
      </c>
    </row>
    <row r="44" spans="2:11">
      <c r="B44" s="111" t="s">
        <v>275</v>
      </c>
      <c r="C44" s="11"/>
      <c r="D44" s="112">
        <f>D39+D42</f>
        <v>30282.89</v>
      </c>
      <c r="F44" t="s">
        <v>282</v>
      </c>
      <c r="I44" s="7">
        <f>I39-D44</f>
        <v>0</v>
      </c>
    </row>
    <row r="46" spans="2:11">
      <c r="C46" s="6" t="s">
        <v>284</v>
      </c>
    </row>
    <row r="48" spans="2:11">
      <c r="B48" s="136" t="s">
        <v>285</v>
      </c>
      <c r="C48" s="137"/>
      <c r="F48" s="136" t="s">
        <v>292</v>
      </c>
      <c r="G48" s="136"/>
      <c r="H48" s="136"/>
    </row>
    <row r="49" spans="2:11">
      <c r="B49" t="s">
        <v>286</v>
      </c>
      <c r="C49" s="7">
        <f>C15</f>
        <v>28890</v>
      </c>
      <c r="F49" t="s">
        <v>293</v>
      </c>
      <c r="H49" s="138">
        <v>0.2</v>
      </c>
    </row>
    <row r="50" spans="2:11">
      <c r="B50" t="s">
        <v>287</v>
      </c>
      <c r="C50" s="7">
        <f>BL!G13</f>
        <v>1617</v>
      </c>
      <c r="F50" t="s">
        <v>294</v>
      </c>
      <c r="H50" s="123">
        <v>15</v>
      </c>
    </row>
    <row r="51" spans="2:11">
      <c r="B51" t="s">
        <v>212</v>
      </c>
      <c r="C51" s="7">
        <f>BL!G37+BL!G39+BL!G48+BL!G49</f>
        <v>5554</v>
      </c>
      <c r="F51" t="s">
        <v>295</v>
      </c>
      <c r="H51" s="7">
        <f>C56/H50</f>
        <v>271.73333333333335</v>
      </c>
    </row>
    <row r="52" spans="2:11">
      <c r="B52" s="99" t="s">
        <v>288</v>
      </c>
      <c r="C52" s="24">
        <f>C49+C50-C51</f>
        <v>24953</v>
      </c>
      <c r="F52" t="s">
        <v>296</v>
      </c>
      <c r="H52" s="7">
        <f>C56*H17</f>
        <v>1222.8</v>
      </c>
    </row>
    <row r="53" spans="2:11">
      <c r="B53" t="s">
        <v>289</v>
      </c>
      <c r="C53" s="7">
        <f>BL!G62</f>
        <v>5776</v>
      </c>
      <c r="F53" t="s">
        <v>297</v>
      </c>
      <c r="H53" s="7">
        <f>H52/H50</f>
        <v>81.52</v>
      </c>
    </row>
    <row r="54" spans="2:11">
      <c r="B54" t="s">
        <v>290</v>
      </c>
      <c r="C54" s="7">
        <f>BL!G25</f>
        <v>1203</v>
      </c>
    </row>
    <row r="55" spans="2:11">
      <c r="B55" s="99" t="s">
        <v>291</v>
      </c>
      <c r="C55" s="24">
        <f>C52-C53+C54</f>
        <v>20380</v>
      </c>
      <c r="F55" s="136" t="s">
        <v>299</v>
      </c>
      <c r="G55" s="136"/>
      <c r="H55" s="136"/>
      <c r="K55" t="s">
        <v>47</v>
      </c>
    </row>
    <row r="56" spans="2:11">
      <c r="B56" t="s">
        <v>303</v>
      </c>
      <c r="C56">
        <f>C55*H49</f>
        <v>4076</v>
      </c>
      <c r="F56" t="s">
        <v>298</v>
      </c>
      <c r="H56" s="138">
        <v>0.02</v>
      </c>
    </row>
    <row r="57" spans="2:11">
      <c r="B57" t="s">
        <v>304</v>
      </c>
      <c r="C57" s="7">
        <f>C55*H56</f>
        <v>407.6</v>
      </c>
      <c r="F57" t="s">
        <v>300</v>
      </c>
      <c r="H57" s="123">
        <v>10</v>
      </c>
    </row>
    <row r="58" spans="2:11">
      <c r="B58" t="s">
        <v>305</v>
      </c>
      <c r="C58" s="7">
        <f>H52+H59</f>
        <v>1345.08</v>
      </c>
      <c r="F58" t="s">
        <v>301</v>
      </c>
      <c r="H58" s="7">
        <f>C57/H57</f>
        <v>40.760000000000005</v>
      </c>
    </row>
    <row r="59" spans="2:11">
      <c r="B59" s="99" t="s">
        <v>306</v>
      </c>
      <c r="C59" s="24">
        <f>C55-C56-C57+C58</f>
        <v>17241.48</v>
      </c>
      <c r="F59" t="s">
        <v>302</v>
      </c>
      <c r="H59" s="7">
        <f>C57*H17</f>
        <v>122.28</v>
      </c>
    </row>
    <row r="60" spans="2:11">
      <c r="F60" t="s">
        <v>297</v>
      </c>
      <c r="H60" s="7">
        <f>H59/H57</f>
        <v>12.228</v>
      </c>
    </row>
    <row r="61" spans="2:11">
      <c r="G61" t="s">
        <v>47</v>
      </c>
    </row>
    <row r="62" spans="2:11">
      <c r="C62" s="6" t="s">
        <v>307</v>
      </c>
    </row>
    <row r="64" spans="2:11">
      <c r="B64" s="17" t="s">
        <v>308</v>
      </c>
      <c r="C64" s="17"/>
      <c r="D64" s="17"/>
      <c r="E64" s="17" t="s">
        <v>312</v>
      </c>
      <c r="F64" s="235" t="s">
        <v>309</v>
      </c>
      <c r="G64" s="235"/>
      <c r="H64" s="140" t="s">
        <v>313</v>
      </c>
    </row>
    <row r="65" spans="2:11">
      <c r="B65" t="s">
        <v>47</v>
      </c>
      <c r="F65" s="128" t="s">
        <v>310</v>
      </c>
      <c r="G65" s="128" t="s">
        <v>311</v>
      </c>
    </row>
    <row r="66" spans="2:11">
      <c r="B66" t="s">
        <v>287</v>
      </c>
      <c r="E66" s="173">
        <f>BL!G13</f>
        <v>1617</v>
      </c>
      <c r="F66" s="142">
        <f>I36</f>
        <v>500</v>
      </c>
      <c r="G66" s="142">
        <f>-E66</f>
        <v>-1617</v>
      </c>
      <c r="H66" s="141">
        <f>SUM(E66:G66)</f>
        <v>500</v>
      </c>
    </row>
    <row r="67" spans="2:11">
      <c r="B67" t="s">
        <v>4</v>
      </c>
      <c r="E67" s="173">
        <f>BL!G15</f>
        <v>2634</v>
      </c>
      <c r="H67" s="141">
        <f>SUM(E67:G67)</f>
        <v>2634</v>
      </c>
    </row>
    <row r="68" spans="2:11">
      <c r="B68" t="s">
        <v>5</v>
      </c>
      <c r="E68" s="173">
        <f>BL!G16</f>
        <v>518</v>
      </c>
      <c r="H68" s="141">
        <f t="shared" ref="H68:H71" si="2">SUM(E68:G68)</f>
        <v>518</v>
      </c>
    </row>
    <row r="69" spans="2:11">
      <c r="B69" t="s">
        <v>1</v>
      </c>
      <c r="E69" s="173">
        <f>BL!G17</f>
        <v>5832</v>
      </c>
      <c r="H69" s="141">
        <f t="shared" si="2"/>
        <v>5832</v>
      </c>
    </row>
    <row r="70" spans="2:11">
      <c r="B70" t="s">
        <v>6</v>
      </c>
      <c r="E70" s="173">
        <f>BL!G18</f>
        <v>167</v>
      </c>
      <c r="H70" s="141">
        <f t="shared" si="2"/>
        <v>167</v>
      </c>
    </row>
    <row r="71" spans="2:11">
      <c r="B71" s="28" t="s">
        <v>314</v>
      </c>
      <c r="C71" s="28"/>
      <c r="D71" s="28"/>
      <c r="E71" s="174">
        <f>BL!G20</f>
        <v>1208</v>
      </c>
      <c r="F71" s="28"/>
      <c r="G71" s="28"/>
      <c r="H71" s="143">
        <f t="shared" si="2"/>
        <v>1208</v>
      </c>
    </row>
    <row r="72" spans="2:11">
      <c r="B72" s="6" t="s">
        <v>320</v>
      </c>
      <c r="E72" s="175">
        <f>SUM(E66:E71)</f>
        <v>11976</v>
      </c>
      <c r="H72" s="144">
        <f>SUM(H66:H71)</f>
        <v>10859</v>
      </c>
      <c r="K72" t="s">
        <v>47</v>
      </c>
    </row>
    <row r="73" spans="2:11">
      <c r="E73" s="125"/>
    </row>
    <row r="74" spans="2:11">
      <c r="B74" t="s">
        <v>315</v>
      </c>
      <c r="E74" s="176">
        <f>BL!G23</f>
        <v>1973</v>
      </c>
      <c r="F74" s="7">
        <f>C57</f>
        <v>407.6</v>
      </c>
      <c r="H74" s="7">
        <f>SUM(E74:G74)</f>
        <v>2380.6</v>
      </c>
    </row>
    <row r="75" spans="2:11">
      <c r="B75" t="s">
        <v>2</v>
      </c>
      <c r="E75" s="176">
        <f>BL!G25</f>
        <v>1203</v>
      </c>
      <c r="F75" s="7">
        <f>C59+1680</f>
        <v>18921.48</v>
      </c>
      <c r="G75" s="7">
        <f>-E75</f>
        <v>-1203</v>
      </c>
      <c r="H75" s="7">
        <f t="shared" ref="H75:H77" si="3">SUM(E75:G75)</f>
        <v>18921.48</v>
      </c>
    </row>
    <row r="76" spans="2:11">
      <c r="B76" t="s">
        <v>410</v>
      </c>
      <c r="E76" s="142">
        <v>1680</v>
      </c>
      <c r="F76" s="7"/>
      <c r="G76" s="7"/>
      <c r="H76" s="7"/>
    </row>
    <row r="77" spans="2:11">
      <c r="B77" s="28" t="s">
        <v>316</v>
      </c>
      <c r="C77" s="28"/>
      <c r="D77" s="28"/>
      <c r="E77" s="177">
        <f>BL!G26+BL!G27</f>
        <v>443</v>
      </c>
      <c r="F77" s="161">
        <f>C56</f>
        <v>4076</v>
      </c>
      <c r="G77" s="28"/>
      <c r="H77" s="98">
        <f t="shared" si="3"/>
        <v>4519</v>
      </c>
    </row>
    <row r="78" spans="2:11">
      <c r="B78" s="6" t="s">
        <v>17</v>
      </c>
      <c r="E78" s="175">
        <f>SUM(E72:E77)</f>
        <v>17275</v>
      </c>
      <c r="H78" s="8">
        <f>SUM(H72:H77)</f>
        <v>36680.080000000002</v>
      </c>
    </row>
    <row r="80" spans="2:11">
      <c r="B80" t="s">
        <v>260</v>
      </c>
      <c r="E80" t="s">
        <v>268</v>
      </c>
    </row>
    <row r="81" spans="2:14">
      <c r="B81" t="s">
        <v>317</v>
      </c>
      <c r="E81" s="145">
        <f>BL!G38</f>
        <v>2910</v>
      </c>
      <c r="H81" s="7">
        <f>SUM(E81:G81)</f>
        <v>2910</v>
      </c>
    </row>
    <row r="82" spans="2:14">
      <c r="B82" t="s">
        <v>318</v>
      </c>
      <c r="E82" s="118">
        <f>BL!G43+BL!G54</f>
        <v>2383</v>
      </c>
      <c r="H82" s="7">
        <f t="shared" ref="H82:H83" si="4">SUM(E82:G82)</f>
        <v>2383</v>
      </c>
    </row>
    <row r="83" spans="2:14">
      <c r="B83" s="28" t="s">
        <v>319</v>
      </c>
      <c r="C83" s="28"/>
      <c r="D83" s="28"/>
      <c r="E83" s="146">
        <f>BL!G44</f>
        <v>652</v>
      </c>
      <c r="F83" s="28" t="s">
        <v>47</v>
      </c>
      <c r="G83" s="28"/>
      <c r="H83" s="98">
        <f t="shared" si="4"/>
        <v>652</v>
      </c>
    </row>
    <row r="84" spans="2:14">
      <c r="B84" s="6" t="s">
        <v>320</v>
      </c>
      <c r="C84" s="6"/>
      <c r="D84" s="6"/>
      <c r="E84" s="8">
        <f>SUM(E81:E83)</f>
        <v>5945</v>
      </c>
      <c r="F84" s="8"/>
      <c r="G84" s="8"/>
      <c r="H84" s="8">
        <f t="shared" ref="H84" si="5">SUM(H81:H83)</f>
        <v>5945</v>
      </c>
    </row>
    <row r="86" spans="2:14">
      <c r="B86" t="s">
        <v>321</v>
      </c>
      <c r="E86" s="7">
        <f>C51</f>
        <v>5554</v>
      </c>
      <c r="F86" s="7">
        <f>-E86</f>
        <v>-5554</v>
      </c>
      <c r="H86" s="7">
        <f>SUM(E86:G86)</f>
        <v>0</v>
      </c>
      <c r="K86" t="s">
        <v>47</v>
      </c>
    </row>
    <row r="87" spans="2:14">
      <c r="B87" t="s">
        <v>261</v>
      </c>
      <c r="E87">
        <v>0</v>
      </c>
      <c r="G87" s="7">
        <f>D36</f>
        <v>14445</v>
      </c>
      <c r="H87" s="7">
        <f t="shared" ref="H87:H90" si="6">SUM(E87:G87)</f>
        <v>14445</v>
      </c>
    </row>
    <row r="88" spans="2:14">
      <c r="B88" t="s">
        <v>262</v>
      </c>
      <c r="E88">
        <v>0</v>
      </c>
      <c r="G88" s="7">
        <f>D37</f>
        <v>3210</v>
      </c>
      <c r="H88" s="7">
        <f t="shared" si="6"/>
        <v>3210</v>
      </c>
    </row>
    <row r="89" spans="2:14">
      <c r="B89" t="s">
        <v>263</v>
      </c>
      <c r="E89">
        <v>0</v>
      </c>
      <c r="G89" s="7">
        <f>D38</f>
        <v>1605</v>
      </c>
      <c r="H89" s="7">
        <f t="shared" si="6"/>
        <v>1605</v>
      </c>
    </row>
    <row r="90" spans="2:14">
      <c r="B90" t="s">
        <v>322</v>
      </c>
      <c r="E90">
        <v>0</v>
      </c>
      <c r="F90" s="7">
        <f>-I27</f>
        <v>-481.5</v>
      </c>
      <c r="H90" s="7">
        <f t="shared" si="6"/>
        <v>-481.5</v>
      </c>
      <c r="N90" t="s">
        <v>47</v>
      </c>
    </row>
    <row r="91" spans="2:14">
      <c r="B91" s="28" t="s">
        <v>305</v>
      </c>
      <c r="C91" s="28"/>
      <c r="D91" s="28"/>
      <c r="E91" s="28"/>
      <c r="F91" s="28"/>
      <c r="G91" s="98">
        <f>C58</f>
        <v>1345.08</v>
      </c>
      <c r="H91" s="98">
        <f>SUM(F91:G91)</f>
        <v>1345.08</v>
      </c>
    </row>
    <row r="92" spans="2:14">
      <c r="B92" s="6" t="s">
        <v>323</v>
      </c>
      <c r="C92" s="6"/>
      <c r="D92" s="6"/>
      <c r="E92" s="8">
        <f>SUM(E84:E91)</f>
        <v>11499</v>
      </c>
      <c r="F92" s="8"/>
      <c r="G92" s="8"/>
      <c r="H92" s="8">
        <f>SUM(H84:H91)</f>
        <v>26068.58</v>
      </c>
    </row>
    <row r="94" spans="2:14">
      <c r="B94" s="99" t="s">
        <v>324</v>
      </c>
      <c r="C94" s="94"/>
      <c r="D94" s="94"/>
      <c r="E94" s="149">
        <f>BL!G62</f>
        <v>5776</v>
      </c>
      <c r="F94" s="96">
        <f>-E94-I37</f>
        <v>-6187.39</v>
      </c>
      <c r="G94" s="96">
        <f>D40+D41</f>
        <v>11022.89</v>
      </c>
      <c r="H94" s="24">
        <f>SUM(E94:G94)</f>
        <v>10611.5</v>
      </c>
      <c r="K94" t="s">
        <v>47</v>
      </c>
    </row>
    <row r="96" spans="2:14">
      <c r="B96" s="99" t="s">
        <v>325</v>
      </c>
      <c r="C96" s="99"/>
      <c r="D96" s="99"/>
      <c r="E96" s="24">
        <f>E92+E94</f>
        <v>17275</v>
      </c>
      <c r="F96" s="99"/>
      <c r="G96" s="99"/>
      <c r="H96" s="24">
        <f>H92+H94</f>
        <v>36680.080000000002</v>
      </c>
    </row>
    <row r="97" spans="2:11">
      <c r="H97" s="6"/>
      <c r="J97" t="s">
        <v>47</v>
      </c>
    </row>
    <row r="98" spans="2:11">
      <c r="B98" s="38" t="s">
        <v>326</v>
      </c>
      <c r="E98" s="150">
        <f>E78-E96</f>
        <v>0</v>
      </c>
      <c r="F98" s="38"/>
      <c r="G98" s="38"/>
      <c r="H98" s="150">
        <f>H78-H96</f>
        <v>0</v>
      </c>
    </row>
    <row r="100" spans="2:11">
      <c r="B100" t="s">
        <v>421</v>
      </c>
      <c r="C100" s="6" t="s">
        <v>327</v>
      </c>
    </row>
    <row r="102" spans="2:11">
      <c r="B102" s="17" t="s">
        <v>328</v>
      </c>
      <c r="C102" s="17"/>
      <c r="D102" s="151" t="s">
        <v>312</v>
      </c>
      <c r="E102" s="139" t="s">
        <v>329</v>
      </c>
      <c r="F102" s="139" t="s">
        <v>330</v>
      </c>
      <c r="G102" s="139" t="s">
        <v>331</v>
      </c>
      <c r="H102" s="139" t="s">
        <v>332</v>
      </c>
      <c r="I102" s="139" t="s">
        <v>333</v>
      </c>
    </row>
    <row r="103" spans="2:11">
      <c r="G103" s="125"/>
    </row>
    <row r="104" spans="2:11">
      <c r="B104" t="s">
        <v>147</v>
      </c>
      <c r="D104" s="118">
        <f>BL!N13+BL!N16+BL!N17</f>
        <v>24933</v>
      </c>
      <c r="E104" s="7">
        <f>D104*(1+E121)</f>
        <v>25823.704215258513</v>
      </c>
      <c r="F104" s="7">
        <f t="shared" ref="F104:I104" si="7">E104*(1+F121)</f>
        <v>26720.642157368697</v>
      </c>
      <c r="G104" s="142">
        <f t="shared" si="7"/>
        <v>27617.580099478873</v>
      </c>
      <c r="H104" s="7">
        <f t="shared" si="7"/>
        <v>28514.51804158905</v>
      </c>
      <c r="I104" s="7">
        <f t="shared" si="7"/>
        <v>29411.455983699234</v>
      </c>
    </row>
    <row r="105" spans="2:11">
      <c r="B105" s="28" t="s">
        <v>58</v>
      </c>
      <c r="C105" s="28"/>
      <c r="D105" s="98">
        <f>BL!N14</f>
        <v>12006</v>
      </c>
      <c r="E105" s="98">
        <f>E104-E106</f>
        <v>12383.253839249011</v>
      </c>
      <c r="F105" s="98">
        <f t="shared" ref="F105:I105" si="8">F104-F106</f>
        <v>12759.921656348208</v>
      </c>
      <c r="G105" s="156">
        <f t="shared" si="8"/>
        <v>13133.00172167896</v>
      </c>
      <c r="H105" s="98">
        <f t="shared" si="8"/>
        <v>13502.49403524127</v>
      </c>
      <c r="I105" s="98">
        <f t="shared" si="8"/>
        <v>13868.398597035144</v>
      </c>
    </row>
    <row r="106" spans="2:11">
      <c r="B106" s="6" t="s">
        <v>334</v>
      </c>
      <c r="D106" s="8">
        <f>D104-D105</f>
        <v>12927</v>
      </c>
      <c r="E106" s="8">
        <f>E122*E104</f>
        <v>13440.450376009501</v>
      </c>
      <c r="F106" s="8">
        <f t="shared" ref="F106:I106" si="9">F122*F104</f>
        <v>13960.720501020489</v>
      </c>
      <c r="G106" s="157">
        <f t="shared" si="9"/>
        <v>14484.578377799913</v>
      </c>
      <c r="H106" s="8">
        <f t="shared" si="9"/>
        <v>15012.02400634778</v>
      </c>
      <c r="I106" s="8">
        <f t="shared" si="9"/>
        <v>15543.05738666409</v>
      </c>
    </row>
    <row r="107" spans="2:11">
      <c r="B107" s="100" t="s">
        <v>335</v>
      </c>
      <c r="C107" s="100"/>
      <c r="D107" s="148">
        <f>BL!N18+BL!N19+BL!N20+BL!N21</f>
        <v>10871</v>
      </c>
      <c r="E107" s="147">
        <f>E123*E104</f>
        <v>11181.883498675577</v>
      </c>
      <c r="F107" s="147">
        <f t="shared" ref="F107:I107" si="10">F123*F104</f>
        <v>11490.103327609877</v>
      </c>
      <c r="G107" s="158">
        <f t="shared" si="10"/>
        <v>11792.941528891513</v>
      </c>
      <c r="H107" s="147">
        <f t="shared" si="10"/>
        <v>12090.398102520487</v>
      </c>
      <c r="I107" s="147">
        <f t="shared" si="10"/>
        <v>12382.473048496802</v>
      </c>
    </row>
    <row r="108" spans="2:11">
      <c r="B108" s="6" t="s">
        <v>62</v>
      </c>
      <c r="D108" s="8">
        <f>D106-D107</f>
        <v>2056</v>
      </c>
      <c r="E108" s="8">
        <f t="shared" ref="E108:I108" si="11">E106-E107</f>
        <v>2258.5668773339239</v>
      </c>
      <c r="F108" s="8">
        <f t="shared" si="11"/>
        <v>2470.6171734106119</v>
      </c>
      <c r="G108" s="157">
        <f>G106-G107</f>
        <v>2691.6368489083998</v>
      </c>
      <c r="H108" s="8">
        <f t="shared" si="11"/>
        <v>2921.6259038272929</v>
      </c>
      <c r="I108" s="8">
        <f t="shared" si="11"/>
        <v>3160.5843381672876</v>
      </c>
    </row>
    <row r="109" spans="2:11">
      <c r="B109" s="36" t="s">
        <v>223</v>
      </c>
      <c r="D109" s="118">
        <f>BL!N23</f>
        <v>1154</v>
      </c>
      <c r="E109" s="7">
        <f>E125*E104</f>
        <v>1195.2253906232031</v>
      </c>
      <c r="F109" s="7">
        <f t="shared" ref="F109:I109" si="12">F125*F104</f>
        <v>1236.7393033170288</v>
      </c>
      <c r="G109" s="142">
        <f t="shared" si="12"/>
        <v>1278.253216010854</v>
      </c>
      <c r="H109" s="7">
        <f t="shared" si="12"/>
        <v>1319.7671287046792</v>
      </c>
      <c r="I109" s="7">
        <f t="shared" si="12"/>
        <v>1361.2810413985046</v>
      </c>
    </row>
    <row r="110" spans="2:11">
      <c r="B110" s="36" t="s">
        <v>337</v>
      </c>
      <c r="D110" t="s">
        <v>268</v>
      </c>
      <c r="E110" s="7">
        <f>$H$51</f>
        <v>271.73333333333335</v>
      </c>
      <c r="F110" s="7">
        <f>$H$51</f>
        <v>271.73333333333335</v>
      </c>
      <c r="G110" s="142">
        <f t="shared" ref="G110:I110" si="13">$H$51</f>
        <v>271.73333333333335</v>
      </c>
      <c r="H110" s="7">
        <f t="shared" si="13"/>
        <v>271.73333333333335</v>
      </c>
      <c r="I110" s="7">
        <f t="shared" si="13"/>
        <v>271.73333333333335</v>
      </c>
    </row>
    <row r="111" spans="2:11">
      <c r="B111" s="36" t="s">
        <v>336</v>
      </c>
      <c r="D111" t="s">
        <v>268</v>
      </c>
      <c r="E111" s="7">
        <f>$H$58</f>
        <v>40.760000000000005</v>
      </c>
      <c r="F111" s="7">
        <f t="shared" ref="F111:I111" si="14">$H$58</f>
        <v>40.760000000000005</v>
      </c>
      <c r="G111" s="142">
        <f t="shared" si="14"/>
        <v>40.760000000000005</v>
      </c>
      <c r="H111" s="7">
        <f t="shared" si="14"/>
        <v>40.760000000000005</v>
      </c>
      <c r="I111" s="7">
        <f t="shared" si="14"/>
        <v>40.760000000000005</v>
      </c>
    </row>
    <row r="112" spans="2:11">
      <c r="B112" s="30" t="s">
        <v>338</v>
      </c>
      <c r="C112" s="28"/>
      <c r="D112" s="28" t="s">
        <v>268</v>
      </c>
      <c r="E112" s="161">
        <v>10</v>
      </c>
      <c r="F112" s="161">
        <v>10</v>
      </c>
      <c r="G112" s="162">
        <v>10</v>
      </c>
      <c r="H112" s="161">
        <v>10</v>
      </c>
      <c r="I112" s="161">
        <v>10</v>
      </c>
      <c r="K112" s="159"/>
    </row>
    <row r="113" spans="2:14">
      <c r="B113" s="6" t="s">
        <v>216</v>
      </c>
      <c r="D113" s="8">
        <f>D108-SUM(D109:D112)</f>
        <v>902</v>
      </c>
      <c r="E113" s="8">
        <f t="shared" ref="E113:I113" si="15">E108-SUM(E109:E112)</f>
        <v>740.84815337738746</v>
      </c>
      <c r="F113" s="8">
        <f t="shared" si="15"/>
        <v>911.38453676024983</v>
      </c>
      <c r="G113" s="157">
        <f t="shared" si="15"/>
        <v>1090.8902995642125</v>
      </c>
      <c r="H113" s="8">
        <f t="shared" si="15"/>
        <v>1279.3654417892803</v>
      </c>
      <c r="I113" s="8">
        <f t="shared" si="15"/>
        <v>1476.8099634354496</v>
      </c>
    </row>
    <row r="114" spans="2:14">
      <c r="B114" s="36" t="s">
        <v>339</v>
      </c>
      <c r="D114" s="118">
        <f>BL!N26</f>
        <v>310</v>
      </c>
      <c r="E114" s="159">
        <f ca="1">E216</f>
        <v>1434.3547403951961</v>
      </c>
      <c r="F114" s="159">
        <f t="shared" ref="F114:I114" ca="1" si="16">F216</f>
        <v>1413.4904450982351</v>
      </c>
      <c r="G114" s="159">
        <f t="shared" ca="1" si="16"/>
        <v>1398.1621616087186</v>
      </c>
      <c r="H114" s="159">
        <f t="shared" ca="1" si="16"/>
        <v>1355.3036098689315</v>
      </c>
      <c r="I114" s="159">
        <f t="shared" ca="1" si="16"/>
        <v>1289.2270294730038</v>
      </c>
    </row>
    <row r="115" spans="2:14">
      <c r="B115" s="30" t="s">
        <v>340</v>
      </c>
      <c r="C115" s="28"/>
      <c r="D115" s="28">
        <v>0</v>
      </c>
      <c r="E115" s="28">
        <f>$I$27/$H$16</f>
        <v>96.3</v>
      </c>
      <c r="F115" s="28">
        <f t="shared" ref="F115:I115" si="17">$I$27/$H$16</f>
        <v>96.3</v>
      </c>
      <c r="G115" s="28">
        <f t="shared" si="17"/>
        <v>96.3</v>
      </c>
      <c r="H115" s="28">
        <f t="shared" si="17"/>
        <v>96.3</v>
      </c>
      <c r="I115" s="28">
        <f t="shared" si="17"/>
        <v>96.3</v>
      </c>
    </row>
    <row r="116" spans="2:14">
      <c r="B116" s="6" t="s">
        <v>341</v>
      </c>
      <c r="D116" s="7">
        <f>D113-D114-D115</f>
        <v>592</v>
      </c>
      <c r="E116" s="7">
        <f ca="1">E113-E114-E115</f>
        <v>-789.80658701780862</v>
      </c>
      <c r="F116" s="7">
        <f ca="1">F113-F114-F115</f>
        <v>-598.40590833798524</v>
      </c>
      <c r="G116" s="7">
        <f t="shared" ref="G116:I116" ca="1" si="18">G113-G114-G115</f>
        <v>-403.57186204450619</v>
      </c>
      <c r="H116" s="7">
        <f t="shared" ca="1" si="18"/>
        <v>-172.23816807965119</v>
      </c>
      <c r="I116" s="7">
        <f t="shared" ca="1" si="18"/>
        <v>91.282933962445853</v>
      </c>
    </row>
    <row r="117" spans="2:14">
      <c r="B117" s="30" t="s">
        <v>342</v>
      </c>
      <c r="C117" s="28"/>
      <c r="D117" s="98">
        <f>D116*H17</f>
        <v>177.6</v>
      </c>
      <c r="E117" s="98">
        <f ca="1">MAX(0,E116*$H$17)</f>
        <v>0</v>
      </c>
      <c r="F117" s="98">
        <f t="shared" ref="F117:I117" ca="1" si="19">MAX(0,F116*$H$17)</f>
        <v>0</v>
      </c>
      <c r="G117" s="98">
        <f t="shared" ca="1" si="19"/>
        <v>0</v>
      </c>
      <c r="H117" s="98">
        <f t="shared" ca="1" si="19"/>
        <v>0</v>
      </c>
      <c r="I117" s="98">
        <f t="shared" ca="1" si="19"/>
        <v>27.384880188733757</v>
      </c>
    </row>
    <row r="118" spans="2:14">
      <c r="B118" s="6" t="s">
        <v>68</v>
      </c>
      <c r="D118" s="7">
        <f>D116-D117</f>
        <v>414.4</v>
      </c>
      <c r="E118" s="7">
        <f ca="1">E116-(E117)</f>
        <v>-789.80658701780862</v>
      </c>
      <c r="F118" s="7">
        <f t="shared" ref="F118:I118" ca="1" si="20">F116-(F117)</f>
        <v>-598.40590833798524</v>
      </c>
      <c r="G118" s="7">
        <f t="shared" ca="1" si="20"/>
        <v>-403.57186204450619</v>
      </c>
      <c r="H118" s="7">
        <f t="shared" ca="1" si="20"/>
        <v>-172.23816807965119</v>
      </c>
      <c r="I118" s="7">
        <f t="shared" ca="1" si="20"/>
        <v>63.898053773712093</v>
      </c>
    </row>
    <row r="120" spans="2:14">
      <c r="B120" s="153" t="s">
        <v>343</v>
      </c>
      <c r="C120" s="152"/>
      <c r="D120" s="152"/>
      <c r="E120" s="152"/>
      <c r="F120" s="152"/>
      <c r="G120" s="152"/>
      <c r="H120" s="152"/>
      <c r="I120" s="152"/>
    </row>
    <row r="121" spans="2:14">
      <c r="B121" t="s">
        <v>344</v>
      </c>
      <c r="D121" s="155" t="s">
        <v>345</v>
      </c>
      <c r="E121" s="154" cm="1">
        <f t="array" ref="E121:I121">TRANSPOSE(Projection!E10:E14)</f>
        <v>3.5723908685618033E-2</v>
      </c>
      <c r="F121" s="154">
        <v>3.473312483110802E-2</v>
      </c>
      <c r="G121" s="154">
        <v>3.3567230039897478E-2</v>
      </c>
      <c r="H121" s="154">
        <v>3.2477064930359401E-2</v>
      </c>
      <c r="I121" s="154">
        <v>3.1455483161313857E-2</v>
      </c>
    </row>
    <row r="122" spans="2:14">
      <c r="B122" t="s">
        <v>346</v>
      </c>
      <c r="D122" s="154">
        <f>D106/D104</f>
        <v>0.51846949825532429</v>
      </c>
      <c r="E122" s="154">
        <f>D122+0.2%</f>
        <v>0.52046949825532429</v>
      </c>
      <c r="F122" s="154">
        <f t="shared" ref="F122:I122" si="21">E122+0.2%</f>
        <v>0.52246949825532429</v>
      </c>
      <c r="G122" s="154">
        <f t="shared" si="21"/>
        <v>0.5244694982553243</v>
      </c>
      <c r="H122" s="154">
        <f t="shared" si="21"/>
        <v>0.5264694982553243</v>
      </c>
      <c r="I122" s="154">
        <f t="shared" si="21"/>
        <v>0.5284694982553243</v>
      </c>
    </row>
    <row r="123" spans="2:14">
      <c r="B123" t="s">
        <v>347</v>
      </c>
      <c r="D123" s="154">
        <f>D107/D104</f>
        <v>0.43600850278747044</v>
      </c>
      <c r="E123" s="154">
        <f>D123-0.3%</f>
        <v>0.43300850278747044</v>
      </c>
      <c r="F123" s="154">
        <f t="shared" ref="F123:I123" si="22">E123-0.3%</f>
        <v>0.43000850278747044</v>
      </c>
      <c r="G123" s="154">
        <f t="shared" si="22"/>
        <v>0.42700850278747043</v>
      </c>
      <c r="H123" s="154">
        <f t="shared" si="22"/>
        <v>0.42400850278747043</v>
      </c>
      <c r="I123" s="154">
        <f t="shared" si="22"/>
        <v>0.42100850278747043</v>
      </c>
      <c r="N123" t="s">
        <v>47</v>
      </c>
    </row>
    <row r="124" spans="2:14">
      <c r="B124" t="s">
        <v>348</v>
      </c>
      <c r="D124" s="154">
        <f>D108/D104</f>
        <v>8.2460995467853848E-2</v>
      </c>
      <c r="E124" s="154">
        <f t="shared" ref="E124:I124" si="23">E108/E104</f>
        <v>8.746099546785388E-2</v>
      </c>
      <c r="F124" s="154">
        <f>F108/F104</f>
        <v>9.2460995467853857E-2</v>
      </c>
      <c r="G124" s="154">
        <f t="shared" si="23"/>
        <v>9.7460995467853806E-2</v>
      </c>
      <c r="H124" s="154">
        <f t="shared" si="23"/>
        <v>0.10246099546785387</v>
      </c>
      <c r="I124" s="154">
        <f t="shared" si="23"/>
        <v>0.10746099546785388</v>
      </c>
    </row>
    <row r="125" spans="2:14">
      <c r="B125" t="s">
        <v>349</v>
      </c>
      <c r="D125" s="154">
        <f>D109/D104</f>
        <v>4.6284041230497737E-2</v>
      </c>
      <c r="E125" s="154">
        <f>$D$125</f>
        <v>4.6284041230497737E-2</v>
      </c>
      <c r="F125" s="154">
        <f t="shared" ref="F125:I125" si="24">$D$125</f>
        <v>4.6284041230497737E-2</v>
      </c>
      <c r="G125" s="154">
        <f t="shared" si="24"/>
        <v>4.6284041230497737E-2</v>
      </c>
      <c r="H125" s="154">
        <f t="shared" si="24"/>
        <v>4.6284041230497737E-2</v>
      </c>
      <c r="I125" s="154">
        <f t="shared" si="24"/>
        <v>4.6284041230497737E-2</v>
      </c>
    </row>
    <row r="126" spans="2:14">
      <c r="B126" t="s">
        <v>350</v>
      </c>
      <c r="D126" s="155" t="s">
        <v>345</v>
      </c>
      <c r="E126" s="160">
        <v>10</v>
      </c>
      <c r="F126" s="160">
        <v>10</v>
      </c>
      <c r="G126" s="160">
        <v>10</v>
      </c>
      <c r="H126" s="160">
        <v>10</v>
      </c>
      <c r="I126" s="160">
        <v>10</v>
      </c>
    </row>
    <row r="128" spans="2:14">
      <c r="C128" s="6" t="s">
        <v>351</v>
      </c>
    </row>
    <row r="130" spans="2:11">
      <c r="B130" s="17" t="s">
        <v>352</v>
      </c>
      <c r="C130" s="17"/>
      <c r="D130" s="17"/>
      <c r="E130" s="17" t="str">
        <f>E102</f>
        <v>2026E</v>
      </c>
      <c r="F130" s="140" t="str">
        <f t="shared" ref="F130:I130" si="25">F102</f>
        <v>2027E</v>
      </c>
      <c r="G130" s="139" t="str">
        <f t="shared" si="25"/>
        <v>2028E</v>
      </c>
      <c r="H130" s="17" t="str">
        <f t="shared" si="25"/>
        <v>2029E</v>
      </c>
      <c r="I130" s="17" t="str">
        <f t="shared" si="25"/>
        <v>2030E</v>
      </c>
    </row>
    <row r="132" spans="2:11">
      <c r="B132" s="6" t="s">
        <v>68</v>
      </c>
      <c r="C132" s="6"/>
      <c r="D132" s="6"/>
      <c r="E132" s="163">
        <f ca="1">E118</f>
        <v>-789.80658701780862</v>
      </c>
      <c r="F132" s="183">
        <f ca="1">F118</f>
        <v>-598.40590833798524</v>
      </c>
      <c r="G132" s="183">
        <f t="shared" ref="G132:I132" ca="1" si="26">G118</f>
        <v>-403.57186204450619</v>
      </c>
      <c r="H132" s="183">
        <f t="shared" ca="1" si="26"/>
        <v>-172.23816807965119</v>
      </c>
      <c r="I132" s="183">
        <f t="shared" ca="1" si="26"/>
        <v>63.898053773712093</v>
      </c>
    </row>
    <row r="133" spans="2:11">
      <c r="B133" t="s">
        <v>223</v>
      </c>
      <c r="E133" s="7">
        <f>E109</f>
        <v>1195.2253906232031</v>
      </c>
      <c r="F133" s="181">
        <f>F109</f>
        <v>1236.7393033170288</v>
      </c>
      <c r="G133" s="181">
        <f t="shared" ref="G133:I133" si="27">G109</f>
        <v>1278.253216010854</v>
      </c>
      <c r="H133" s="181">
        <f t="shared" si="27"/>
        <v>1319.7671287046792</v>
      </c>
      <c r="I133" s="181">
        <f t="shared" si="27"/>
        <v>1361.2810413985046</v>
      </c>
    </row>
    <row r="134" spans="2:11">
      <c r="B134" t="s">
        <v>353</v>
      </c>
      <c r="E134" s="159">
        <f>$I$27/$H$16</f>
        <v>96.3</v>
      </c>
      <c r="F134" s="182">
        <f t="shared" ref="F134:I134" si="28">$I$27/$H$16</f>
        <v>96.3</v>
      </c>
      <c r="G134" s="182">
        <f t="shared" si="28"/>
        <v>96.3</v>
      </c>
      <c r="H134" s="182">
        <f t="shared" si="28"/>
        <v>96.3</v>
      </c>
      <c r="I134" s="182">
        <f t="shared" si="28"/>
        <v>96.3</v>
      </c>
    </row>
    <row r="135" spans="2:11">
      <c r="B135" t="s">
        <v>354</v>
      </c>
      <c r="E135" s="159">
        <f>E208</f>
        <v>48.15</v>
      </c>
      <c r="F135" s="182">
        <f t="shared" ref="F135:I135" si="29">F208</f>
        <v>49.594500000000004</v>
      </c>
      <c r="G135" s="182">
        <f t="shared" si="29"/>
        <v>51.082335</v>
      </c>
      <c r="H135" s="182">
        <f t="shared" si="29"/>
        <v>52.614805050000001</v>
      </c>
      <c r="I135" s="182">
        <f t="shared" si="29"/>
        <v>54.193249201500002</v>
      </c>
      <c r="J135" s="159"/>
      <c r="K135" s="159" t="s">
        <v>47</v>
      </c>
    </row>
    <row r="136" spans="2:11">
      <c r="B136" t="s">
        <v>337</v>
      </c>
      <c r="E136" s="7">
        <f>E110</f>
        <v>271.73333333333335</v>
      </c>
      <c r="F136" s="181">
        <f t="shared" ref="F136:I136" si="30">F110</f>
        <v>271.73333333333335</v>
      </c>
      <c r="G136" s="181">
        <f t="shared" si="30"/>
        <v>271.73333333333335</v>
      </c>
      <c r="H136" s="181">
        <f t="shared" si="30"/>
        <v>271.73333333333335</v>
      </c>
      <c r="I136" s="181">
        <f t="shared" si="30"/>
        <v>271.73333333333335</v>
      </c>
    </row>
    <row r="137" spans="2:11">
      <c r="B137" t="s">
        <v>355</v>
      </c>
      <c r="E137" s="7">
        <f>E111</f>
        <v>40.760000000000005</v>
      </c>
      <c r="F137" s="181">
        <f t="shared" ref="F137:I137" si="31">F111</f>
        <v>40.760000000000005</v>
      </c>
      <c r="G137" s="181">
        <f t="shared" si="31"/>
        <v>40.760000000000005</v>
      </c>
      <c r="H137" s="181">
        <f t="shared" si="31"/>
        <v>40.760000000000005</v>
      </c>
      <c r="I137" s="181">
        <f t="shared" si="31"/>
        <v>40.760000000000005</v>
      </c>
    </row>
    <row r="138" spans="2:11">
      <c r="B138" t="s">
        <v>356</v>
      </c>
      <c r="E138" s="7">
        <f>$H$60+$H$53</f>
        <v>93.74799999999999</v>
      </c>
      <c r="F138" s="181">
        <f t="shared" ref="F138:I138" si="32">$H$60+$H$53</f>
        <v>93.74799999999999</v>
      </c>
      <c r="G138" s="181">
        <f t="shared" si="32"/>
        <v>93.74799999999999</v>
      </c>
      <c r="H138" s="181">
        <f t="shared" si="32"/>
        <v>93.74799999999999</v>
      </c>
      <c r="I138" s="181">
        <f t="shared" si="32"/>
        <v>93.74799999999999</v>
      </c>
      <c r="K138" t="s">
        <v>47</v>
      </c>
    </row>
    <row r="139" spans="2:11">
      <c r="B139" s="28" t="s">
        <v>221</v>
      </c>
      <c r="C139" s="28"/>
      <c r="D139" s="28"/>
      <c r="E139" s="98">
        <f>E258-D258</f>
        <v>-579.47124829031509</v>
      </c>
      <c r="F139" s="156">
        <f>F258-E258</f>
        <v>29.05212579266481</v>
      </c>
      <c r="G139" s="156">
        <f t="shared" ref="G139:I139" si="33">G258-F258</f>
        <v>24.263803063252453</v>
      </c>
      <c r="H139" s="156">
        <f t="shared" si="33"/>
        <v>19.534457075240425</v>
      </c>
      <c r="I139" s="156">
        <f t="shared" si="33"/>
        <v>14.864087828625998</v>
      </c>
    </row>
    <row r="140" spans="2:11">
      <c r="B140" s="6" t="s">
        <v>357</v>
      </c>
      <c r="E140" s="163">
        <f ca="1">SUM(E132:E137)-E138-E139</f>
        <v>1348.0853852290429</v>
      </c>
      <c r="F140" s="183">
        <f ca="1">SUM(F132:F137)-F138-F139</f>
        <v>973.92110251971212</v>
      </c>
      <c r="G140" s="183">
        <f t="shared" ref="G140:I140" ca="1" si="34">SUM(G132:G137)-G138-G139</f>
        <v>1216.5452192364287</v>
      </c>
      <c r="H140" s="183">
        <f t="shared" ca="1" si="34"/>
        <v>1495.654641933121</v>
      </c>
      <c r="I140" s="183">
        <f t="shared" ca="1" si="34"/>
        <v>1779.553589878424</v>
      </c>
    </row>
    <row r="142" spans="2:11">
      <c r="B142" s="28" t="s">
        <v>87</v>
      </c>
      <c r="C142" s="28"/>
      <c r="D142" s="28"/>
      <c r="E142" s="161">
        <f>E104*$D$157</f>
        <v>604.44590156312267</v>
      </c>
      <c r="F142" s="161">
        <f t="shared" ref="F142:I142" si="35">F104*$D$157</f>
        <v>625.44019651576627</v>
      </c>
      <c r="G142" s="161">
        <f t="shared" si="35"/>
        <v>646.43449146840965</v>
      </c>
      <c r="H142" s="161">
        <f t="shared" si="35"/>
        <v>667.42878642105302</v>
      </c>
      <c r="I142" s="161">
        <f t="shared" si="35"/>
        <v>688.42308137369662</v>
      </c>
    </row>
    <row r="143" spans="2:11">
      <c r="B143" s="6" t="s">
        <v>358</v>
      </c>
      <c r="E143" s="163">
        <f>-E142</f>
        <v>-604.44590156312267</v>
      </c>
      <c r="F143" s="163">
        <f t="shared" ref="F143:I143" si="36">-F142</f>
        <v>-625.44019651576627</v>
      </c>
      <c r="G143" s="163">
        <f t="shared" si="36"/>
        <v>-646.43449146840965</v>
      </c>
      <c r="H143" s="163">
        <f t="shared" si="36"/>
        <v>-667.42878642105302</v>
      </c>
      <c r="I143" s="163">
        <f t="shared" si="36"/>
        <v>-688.42308137369662</v>
      </c>
    </row>
    <row r="145" spans="2:12">
      <c r="B145" s="28" t="s">
        <v>359</v>
      </c>
      <c r="C145" s="28"/>
      <c r="D145" s="28"/>
      <c r="E145" s="28">
        <f>-E183</f>
        <v>-144.45000000000002</v>
      </c>
      <c r="F145" s="28">
        <f t="shared" ref="F145:I145" ca="1" si="37">-F183</f>
        <v>-144.45000000000002</v>
      </c>
      <c r="G145" s="28">
        <f t="shared" ca="1" si="37"/>
        <v>-144.45000000000002</v>
      </c>
      <c r="H145" s="28">
        <f t="shared" ca="1" si="37"/>
        <v>-144.45000000000002</v>
      </c>
      <c r="I145" s="28">
        <f t="shared" ca="1" si="37"/>
        <v>-144.45000000000002</v>
      </c>
    </row>
    <row r="146" spans="2:12">
      <c r="B146" s="6" t="s">
        <v>360</v>
      </c>
      <c r="E146" s="163">
        <f ca="1">E140+E143+E145</f>
        <v>599.18948366592019</v>
      </c>
      <c r="F146" s="163">
        <f ca="1">F140+F143+F145</f>
        <v>204.03090600394583</v>
      </c>
      <c r="G146" s="163">
        <f t="shared" ref="G146:I146" ca="1" si="38">G140+G143+G145</f>
        <v>425.660727768019</v>
      </c>
      <c r="H146" s="163">
        <f t="shared" ca="1" si="38"/>
        <v>683.77585551206789</v>
      </c>
      <c r="I146" s="163">
        <f t="shared" ca="1" si="38"/>
        <v>946.68050850472741</v>
      </c>
      <c r="K146" t="s">
        <v>47</v>
      </c>
    </row>
    <row r="147" spans="2:12">
      <c r="B147" s="28" t="s">
        <v>361</v>
      </c>
      <c r="C147" s="28"/>
      <c r="D147" s="28"/>
      <c r="E147" s="28">
        <v>0</v>
      </c>
      <c r="F147" s="28">
        <v>0</v>
      </c>
      <c r="G147" s="28">
        <v>0</v>
      </c>
      <c r="H147" s="28">
        <v>0</v>
      </c>
      <c r="I147" s="28">
        <v>0</v>
      </c>
    </row>
    <row r="148" spans="2:12">
      <c r="B148" s="6" t="s">
        <v>362</v>
      </c>
      <c r="E148" s="163">
        <f ca="1">SUM(E146:E147)</f>
        <v>599.18948366592019</v>
      </c>
      <c r="F148" s="163">
        <f t="shared" ref="F148:I148" ca="1" si="39">SUM(F146:F147)</f>
        <v>204.03090600394583</v>
      </c>
      <c r="G148" s="163">
        <f t="shared" ca="1" si="39"/>
        <v>425.660727768019</v>
      </c>
      <c r="H148" s="163">
        <f t="shared" ca="1" si="39"/>
        <v>683.77585551206789</v>
      </c>
      <c r="I148" s="163">
        <f t="shared" ca="1" si="39"/>
        <v>946.68050850472741</v>
      </c>
    </row>
    <row r="149" spans="2:12">
      <c r="B149" s="28" t="s">
        <v>363</v>
      </c>
      <c r="C149" s="28"/>
      <c r="D149" s="28"/>
      <c r="E149" s="98">
        <f ca="1">-E184</f>
        <v>-599.18948366592019</v>
      </c>
      <c r="F149" s="98">
        <f t="shared" ref="F149:I149" ca="1" si="40">-F184</f>
        <v>-204.03090600393355</v>
      </c>
      <c r="G149" s="98">
        <f t="shared" ca="1" si="40"/>
        <v>-425.66072776529825</v>
      </c>
      <c r="H149" s="98">
        <f t="shared" ca="1" si="40"/>
        <v>-683.77585520352977</v>
      </c>
      <c r="I149" s="98">
        <f t="shared" ca="1" si="40"/>
        <v>-946.68049827450955</v>
      </c>
    </row>
    <row r="150" spans="2:12">
      <c r="B150" s="6" t="s">
        <v>364</v>
      </c>
      <c r="E150" s="163">
        <f ca="1">SUM(E148:E149)</f>
        <v>0</v>
      </c>
      <c r="F150" s="163">
        <f t="shared" ref="F150:I150" ca="1" si="41">SUM(F148:F149)</f>
        <v>1.2278178473934531E-11</v>
      </c>
      <c r="G150" s="163">
        <f t="shared" ca="1" si="41"/>
        <v>2.7207534003537148E-9</v>
      </c>
      <c r="H150" s="163">
        <f t="shared" ca="1" si="41"/>
        <v>3.0853811949782539E-7</v>
      </c>
      <c r="I150" s="163">
        <f t="shared" ca="1" si="41"/>
        <v>1.0230217867501779E-5</v>
      </c>
    </row>
    <row r="152" spans="2:12">
      <c r="B152" s="36" t="s">
        <v>365</v>
      </c>
      <c r="E152" s="7">
        <f>H14</f>
        <v>500</v>
      </c>
      <c r="F152" s="7">
        <f ca="1">E154</f>
        <v>500</v>
      </c>
      <c r="G152" s="7">
        <f t="shared" ref="G152:I152" ca="1" si="42">F154</f>
        <v>500.00000000028786</v>
      </c>
      <c r="H152" s="7">
        <f t="shared" ca="1" si="42"/>
        <v>500.00000005989727</v>
      </c>
      <c r="I152" s="7">
        <f t="shared" ca="1" si="42"/>
        <v>500.00000627460599</v>
      </c>
    </row>
    <row r="153" spans="2:12">
      <c r="B153" s="28" t="s">
        <v>366</v>
      </c>
      <c r="C153" s="28"/>
      <c r="D153" s="28"/>
      <c r="E153" s="161">
        <f ca="1">E150</f>
        <v>0</v>
      </c>
      <c r="F153" s="161">
        <f t="shared" ref="F153:I153" ca="1" si="43">F150</f>
        <v>1.2278178473934531E-11</v>
      </c>
      <c r="G153" s="161">
        <f t="shared" ca="1" si="43"/>
        <v>2.7207534003537148E-9</v>
      </c>
      <c r="H153" s="161">
        <f t="shared" ca="1" si="43"/>
        <v>3.0853811949782539E-7</v>
      </c>
      <c r="I153" s="161">
        <f t="shared" ca="1" si="43"/>
        <v>1.0230217867501779E-5</v>
      </c>
      <c r="L153" t="s">
        <v>47</v>
      </c>
    </row>
    <row r="154" spans="2:12">
      <c r="B154" s="6" t="s">
        <v>367</v>
      </c>
      <c r="E154" s="8">
        <f ca="1">SUM(E152:E153)</f>
        <v>500</v>
      </c>
      <c r="F154" s="8">
        <f t="shared" ref="F154:I154" ca="1" si="44">SUM(F152:F153)</f>
        <v>500.00000000001228</v>
      </c>
      <c r="G154" s="8">
        <f t="shared" ca="1" si="44"/>
        <v>500.00000000300861</v>
      </c>
      <c r="H154" s="8">
        <f t="shared" ca="1" si="44"/>
        <v>500.00000036843539</v>
      </c>
      <c r="I154" s="8">
        <f t="shared" ca="1" si="44"/>
        <v>500.00001650482386</v>
      </c>
    </row>
    <row r="156" spans="2:12">
      <c r="B156" s="165" t="s">
        <v>343</v>
      </c>
      <c r="C156" s="165"/>
      <c r="D156" s="165"/>
      <c r="E156" s="165"/>
      <c r="F156" s="165"/>
      <c r="G156" s="165"/>
      <c r="H156" s="165"/>
      <c r="I156" s="165"/>
    </row>
    <row r="157" spans="2:12">
      <c r="B157" s="38" t="s">
        <v>368</v>
      </c>
      <c r="C157" s="38"/>
      <c r="D157" s="154">
        <f>Projection!H10/-LBO!E104</f>
        <v>2.3406630455671512E-2</v>
      </c>
    </row>
    <row r="158" spans="2:12">
      <c r="D158" s="50"/>
    </row>
    <row r="159" spans="2:12">
      <c r="C159" s="6" t="s">
        <v>369</v>
      </c>
    </row>
    <row r="161" spans="2:10">
      <c r="B161" s="115" t="s">
        <v>370</v>
      </c>
      <c r="C161" s="115"/>
      <c r="D161" s="115"/>
      <c r="E161" s="172" t="str">
        <f>E102</f>
        <v>2026E</v>
      </c>
      <c r="F161" s="172" t="str">
        <f t="shared" ref="F161:I161" si="45">F102</f>
        <v>2027E</v>
      </c>
      <c r="G161" s="172" t="str">
        <f t="shared" si="45"/>
        <v>2028E</v>
      </c>
      <c r="H161" s="172" t="str">
        <f t="shared" si="45"/>
        <v>2029E</v>
      </c>
      <c r="I161" s="172" t="str">
        <f t="shared" si="45"/>
        <v>2030E</v>
      </c>
    </row>
    <row r="163" spans="2:10">
      <c r="B163" s="38" t="s">
        <v>371</v>
      </c>
      <c r="E163" s="167">
        <v>220</v>
      </c>
      <c r="F163" s="167">
        <v>235</v>
      </c>
      <c r="G163" s="167">
        <v>250</v>
      </c>
      <c r="H163" s="167">
        <v>260</v>
      </c>
      <c r="I163" s="167">
        <v>270</v>
      </c>
    </row>
    <row r="165" spans="2:10">
      <c r="B165" t="s">
        <v>260</v>
      </c>
      <c r="E165" s="125">
        <v>0</v>
      </c>
      <c r="F165" s="125">
        <v>0</v>
      </c>
      <c r="G165" s="125">
        <v>0</v>
      </c>
      <c r="H165" s="125">
        <v>0</v>
      </c>
      <c r="I165" s="125">
        <v>0</v>
      </c>
    </row>
    <row r="166" spans="2:10">
      <c r="B166" t="s">
        <v>372</v>
      </c>
      <c r="E166" s="125">
        <v>0</v>
      </c>
      <c r="F166" s="125">
        <v>0</v>
      </c>
      <c r="G166" s="125">
        <v>0</v>
      </c>
      <c r="H166" s="125">
        <v>0</v>
      </c>
      <c r="I166" s="125">
        <v>0</v>
      </c>
    </row>
    <row r="167" spans="2:10">
      <c r="B167" s="28" t="s">
        <v>373</v>
      </c>
      <c r="C167" s="28"/>
      <c r="D167" s="28"/>
      <c r="E167" s="130">
        <v>0</v>
      </c>
      <c r="F167" s="130">
        <v>0</v>
      </c>
      <c r="G167" s="130">
        <v>0</v>
      </c>
      <c r="H167" s="130">
        <v>0</v>
      </c>
      <c r="I167" s="130">
        <v>0</v>
      </c>
    </row>
    <row r="168" spans="2:10">
      <c r="B168" s="6" t="s">
        <v>374</v>
      </c>
      <c r="E168" s="125">
        <v>0</v>
      </c>
      <c r="F168" s="125">
        <v>0</v>
      </c>
      <c r="G168" s="125">
        <v>0</v>
      </c>
      <c r="H168" s="125">
        <v>0</v>
      </c>
      <c r="I168" s="125">
        <v>0</v>
      </c>
    </row>
    <row r="170" spans="2:10">
      <c r="B170" t="s">
        <v>375</v>
      </c>
      <c r="E170" s="184">
        <f>IF($H$19=1,SUM(D223,D225)*75%,0)</f>
        <v>6349.5</v>
      </c>
      <c r="F170" s="159">
        <f>E170</f>
        <v>6349.5</v>
      </c>
      <c r="G170" s="184">
        <f t="shared" ref="G170:I170" si="46">F170</f>
        <v>6349.5</v>
      </c>
      <c r="H170" s="184">
        <f t="shared" si="46"/>
        <v>6349.5</v>
      </c>
      <c r="I170" s="184">
        <f t="shared" si="46"/>
        <v>6349.5</v>
      </c>
    </row>
    <row r="171" spans="2:10">
      <c r="E171" s="159"/>
      <c r="F171" s="159"/>
      <c r="G171" s="159"/>
      <c r="H171" s="159"/>
      <c r="I171" s="159"/>
    </row>
    <row r="172" spans="2:10">
      <c r="B172" t="s">
        <v>376</v>
      </c>
      <c r="E172" s="184">
        <f>E170-E166</f>
        <v>6349.5</v>
      </c>
      <c r="F172" s="184">
        <f t="shared" ref="F172:I172" si="47">F170-F166</f>
        <v>6349.5</v>
      </c>
      <c r="G172" s="184">
        <f t="shared" si="47"/>
        <v>6349.5</v>
      </c>
      <c r="H172" s="184">
        <f t="shared" si="47"/>
        <v>6349.5</v>
      </c>
      <c r="I172" s="184">
        <f t="shared" si="47"/>
        <v>6349.5</v>
      </c>
      <c r="J172" s="125"/>
    </row>
    <row r="173" spans="2:10">
      <c r="B173" t="s">
        <v>377</v>
      </c>
      <c r="E173" s="184">
        <f>E172-E167</f>
        <v>6349.5</v>
      </c>
      <c r="F173" s="184">
        <f t="shared" ref="F173:I173" si="48">F172-F167</f>
        <v>6349.5</v>
      </c>
      <c r="G173" s="184">
        <f t="shared" si="48"/>
        <v>6349.5</v>
      </c>
      <c r="H173" s="184">
        <f t="shared" si="48"/>
        <v>6349.5</v>
      </c>
      <c r="I173" s="184">
        <f t="shared" si="48"/>
        <v>6349.5</v>
      </c>
      <c r="J173" s="125"/>
    </row>
    <row r="175" spans="2:10">
      <c r="B175" t="s">
        <v>378</v>
      </c>
      <c r="E175" s="168">
        <f>MAX($E$23/10000,E$163/10000)+($F$23/10000)</f>
        <v>5.7000000000000002E-2</v>
      </c>
      <c r="F175" s="168">
        <f>MAX($E$23/10000,F$163/10000)+($F$23/10000)</f>
        <v>5.7000000000000002E-2</v>
      </c>
      <c r="G175" s="168">
        <f>MAX($E$23/10000,G$163/10000)+($F$23/10000)</f>
        <v>5.7000000000000002E-2</v>
      </c>
      <c r="H175" s="168">
        <f>MAX($E$23/10000,H$163/10000)+($F$23/10000)</f>
        <v>5.7000000000000002E-2</v>
      </c>
      <c r="I175" s="168">
        <f>MAX($E$23/10000,I$163/10000)+($F$23/10000)</f>
        <v>5.7000000000000002E-2</v>
      </c>
    </row>
    <row r="176" spans="2:10">
      <c r="B176" t="s">
        <v>380</v>
      </c>
      <c r="E176" s="125">
        <f>IF($H$19=1,AVERAGE(E166,E168)*E175,0)</f>
        <v>0</v>
      </c>
      <c r="F176" s="125">
        <f t="shared" ref="F176:H176" si="49">IF($H$19=1,AVERAGE(F166,F168)*F175,0)</f>
        <v>0</v>
      </c>
      <c r="G176" s="125">
        <f t="shared" si="49"/>
        <v>0</v>
      </c>
      <c r="H176" s="125">
        <f t="shared" si="49"/>
        <v>0</v>
      </c>
      <c r="I176" s="125">
        <f>IF($H$19=1,AVERAGE(I166,I168)*I175,0)</f>
        <v>0</v>
      </c>
    </row>
    <row r="177" spans="2:12">
      <c r="E177" s="125"/>
      <c r="F177" s="125"/>
      <c r="G177" s="125"/>
      <c r="H177" s="125"/>
      <c r="I177" s="125"/>
    </row>
    <row r="178" spans="2:12">
      <c r="B178" t="s">
        <v>381</v>
      </c>
      <c r="E178" s="169">
        <v>5.0000000000000001E-3</v>
      </c>
      <c r="F178" s="169">
        <v>5.0000000000000001E-3</v>
      </c>
      <c r="G178" s="169">
        <v>5.0000000000000001E-3</v>
      </c>
      <c r="H178" s="169">
        <v>5.0000000000000001E-3</v>
      </c>
      <c r="I178" s="169">
        <v>5.0000000000000001E-3</v>
      </c>
    </row>
    <row r="179" spans="2:12">
      <c r="B179" t="s">
        <v>382</v>
      </c>
      <c r="E179" s="184">
        <f>IF($H$19=1,AVERAGE(E172,E173)*E178,0)</f>
        <v>31.747500000000002</v>
      </c>
      <c r="F179" s="184">
        <f t="shared" ref="F179:I179" si="50">IF($H$19=1,AVERAGE(F172,F173)*F178,0)</f>
        <v>31.747500000000002</v>
      </c>
      <c r="G179" s="184">
        <f t="shared" si="50"/>
        <v>31.747500000000002</v>
      </c>
      <c r="H179" s="184">
        <f t="shared" si="50"/>
        <v>31.747500000000002</v>
      </c>
      <c r="I179" s="184">
        <f t="shared" si="50"/>
        <v>31.747500000000002</v>
      </c>
    </row>
    <row r="181" spans="2:12">
      <c r="B181" s="127" t="s">
        <v>261</v>
      </c>
    </row>
    <row r="182" spans="2:12">
      <c r="B182" t="s">
        <v>383</v>
      </c>
      <c r="E182" s="7">
        <f>D36</f>
        <v>14445</v>
      </c>
      <c r="F182" s="7">
        <f ca="1">E185</f>
        <v>13701.36051633408</v>
      </c>
      <c r="G182" s="7">
        <f ca="1">F185</f>
        <v>13352.879610330147</v>
      </c>
      <c r="H182" s="7">
        <f ca="1">G185</f>
        <v>12782.768882565137</v>
      </c>
      <c r="I182" s="7">
        <f ca="1">H185</f>
        <v>11954.543027421505</v>
      </c>
    </row>
    <row r="183" spans="2:12">
      <c r="B183" t="s">
        <v>359</v>
      </c>
      <c r="E183">
        <f>MIN($G$24*$D$36,E182)</f>
        <v>144.45000000000002</v>
      </c>
      <c r="F183">
        <f t="shared" ref="F183:I183" ca="1" si="51">MIN($G$24*$D$36,F182)</f>
        <v>144.45000000000002</v>
      </c>
      <c r="G183">
        <f t="shared" ca="1" si="51"/>
        <v>144.45000000000002</v>
      </c>
      <c r="H183">
        <f t="shared" ca="1" si="51"/>
        <v>144.45000000000002</v>
      </c>
      <c r="I183">
        <f t="shared" ca="1" si="51"/>
        <v>144.45000000000002</v>
      </c>
    </row>
    <row r="184" spans="2:12">
      <c r="B184" s="28" t="s">
        <v>384</v>
      </c>
      <c r="C184" s="28"/>
      <c r="D184" s="28"/>
      <c r="E184" s="98">
        <f ca="1">MAX(0,MIN(E182-E183,E148))</f>
        <v>599.18948366592019</v>
      </c>
      <c r="F184" s="98">
        <f ca="1">MIN(F182-F183,F148)</f>
        <v>204.03090600394583</v>
      </c>
      <c r="G184" s="98">
        <f ca="1">MIN(G182-G183,G148)</f>
        <v>425.660727768019</v>
      </c>
      <c r="H184" s="98">
        <f ca="1">MIN(H182-H183,H148)</f>
        <v>683.77585551206789</v>
      </c>
      <c r="I184" s="98">
        <f ca="1">MIN(I182-I183,I148)</f>
        <v>946.68050850472741</v>
      </c>
    </row>
    <row r="185" spans="2:12">
      <c r="B185" s="6" t="s">
        <v>374</v>
      </c>
      <c r="C185" s="6"/>
      <c r="D185" s="6"/>
      <c r="E185" s="8">
        <f ca="1">E182-SUM(E183:E184)</f>
        <v>13701.36051633408</v>
      </c>
      <c r="F185" s="8">
        <f t="shared" ref="F185:I185" ca="1" si="52">F182-SUM(F183:F184)</f>
        <v>13352.879610330134</v>
      </c>
      <c r="G185" s="8">
        <f t="shared" ca="1" si="52"/>
        <v>12782.768882562128</v>
      </c>
      <c r="H185" s="8">
        <f t="shared" ca="1" si="52"/>
        <v>11954.543027053069</v>
      </c>
      <c r="I185" s="8">
        <f t="shared" ca="1" si="52"/>
        <v>10863.412518916777</v>
      </c>
    </row>
    <row r="186" spans="2:12">
      <c r="L186" t="s">
        <v>47</v>
      </c>
    </row>
    <row r="187" spans="2:12">
      <c r="B187" t="s">
        <v>385</v>
      </c>
      <c r="E187" s="51">
        <f>MAX($F$24,E$163/10000)+($E$24/10000)</f>
        <v>7.9000000000000001E-2</v>
      </c>
      <c r="F187" s="51">
        <f>MAX($F$24,F$163/10000)+($E$24/10000)</f>
        <v>8.0500000000000002E-2</v>
      </c>
      <c r="G187" s="51">
        <f>MAX($F$24,G$163/10000)+($E$24/10000)</f>
        <v>8.2000000000000003E-2</v>
      </c>
      <c r="H187" s="51">
        <f>MAX($F$24,H$163/10000)+($E$24/10000)</f>
        <v>8.3000000000000004E-2</v>
      </c>
      <c r="I187" s="51">
        <f>MAX($F$24,I$163/10000)+($E$24/10000)</f>
        <v>8.4000000000000005E-2</v>
      </c>
    </row>
    <row r="188" spans="2:12">
      <c r="B188" t="s">
        <v>386</v>
      </c>
      <c r="E188" s="159">
        <f ca="1">IF($H$19=1,AVERAGE(E182,E185)*E187,0)</f>
        <v>1111.7812403951962</v>
      </c>
      <c r="F188" s="159">
        <f t="shared" ref="F188:I188" ca="1" si="53">IF($H$19=1,AVERAGE(F182,F185)*F187,0)</f>
        <v>1088.9331650982347</v>
      </c>
      <c r="G188" s="159">
        <f t="shared" ca="1" si="53"/>
        <v>1071.5615882085833</v>
      </c>
      <c r="H188" s="159">
        <f t="shared" ca="1" si="53"/>
        <v>1026.5984442491556</v>
      </c>
      <c r="I188" s="159">
        <f t="shared" ca="1" si="53"/>
        <v>958.35413294620787</v>
      </c>
    </row>
    <row r="190" spans="2:12">
      <c r="B190" s="127" t="s">
        <v>262</v>
      </c>
    </row>
    <row r="191" spans="2:12">
      <c r="B191" t="s">
        <v>383</v>
      </c>
      <c r="E191" s="7">
        <f>D37</f>
        <v>3210</v>
      </c>
      <c r="F191" s="7">
        <f>E193</f>
        <v>3210</v>
      </c>
      <c r="G191" s="7">
        <f>F193</f>
        <v>3210</v>
      </c>
      <c r="H191" s="7">
        <f>G193</f>
        <v>3210</v>
      </c>
      <c r="I191" s="7">
        <f>H193</f>
        <v>3210</v>
      </c>
    </row>
    <row r="192" spans="2:12">
      <c r="B192" s="28" t="s">
        <v>387</v>
      </c>
      <c r="C192" s="28"/>
      <c r="D192" s="28"/>
      <c r="E192" s="28">
        <v>0</v>
      </c>
      <c r="F192" s="28">
        <v>0</v>
      </c>
      <c r="G192" s="28">
        <v>0</v>
      </c>
      <c r="H192" s="28">
        <v>0</v>
      </c>
      <c r="I192" s="28">
        <v>0</v>
      </c>
    </row>
    <row r="193" spans="2:9">
      <c r="B193" s="6" t="s">
        <v>374</v>
      </c>
      <c r="C193" s="6"/>
      <c r="D193" s="6"/>
      <c r="E193" s="8">
        <f>E191-E192</f>
        <v>3210</v>
      </c>
      <c r="F193" s="8">
        <f>F191-F192</f>
        <v>3210</v>
      </c>
      <c r="G193" s="8">
        <f>G191-G192</f>
        <v>3210</v>
      </c>
      <c r="H193" s="8">
        <f>H191-H192</f>
        <v>3210</v>
      </c>
      <c r="I193" s="8">
        <f>I191-I192</f>
        <v>3210</v>
      </c>
    </row>
    <row r="195" spans="2:9">
      <c r="B195" t="s">
        <v>388</v>
      </c>
      <c r="E195" s="51">
        <f>$E$25</f>
        <v>7.0000000000000007E-2</v>
      </c>
      <c r="F195" s="51">
        <f t="shared" ref="F195:I195" si="54">$E$25</f>
        <v>7.0000000000000007E-2</v>
      </c>
      <c r="G195" s="51">
        <f t="shared" si="54"/>
        <v>7.0000000000000007E-2</v>
      </c>
      <c r="H195" s="51">
        <f t="shared" si="54"/>
        <v>7.0000000000000007E-2</v>
      </c>
      <c r="I195" s="51">
        <f t="shared" si="54"/>
        <v>7.0000000000000007E-2</v>
      </c>
    </row>
    <row r="196" spans="2:9">
      <c r="B196" t="s">
        <v>389</v>
      </c>
      <c r="E196">
        <f>IF($H$19=1,AVERAGE(E191,E193)*E195,0)</f>
        <v>224.70000000000002</v>
      </c>
      <c r="F196">
        <f t="shared" ref="F196:I196" si="55">IF($H$19=1,AVERAGE(F191,F193)*F195,0)</f>
        <v>224.70000000000002</v>
      </c>
      <c r="G196">
        <f t="shared" si="55"/>
        <v>224.70000000000002</v>
      </c>
      <c r="H196">
        <f t="shared" si="55"/>
        <v>224.70000000000002</v>
      </c>
      <c r="I196">
        <f t="shared" si="55"/>
        <v>224.70000000000002</v>
      </c>
    </row>
    <row r="198" spans="2:9">
      <c r="B198" s="127" t="s">
        <v>390</v>
      </c>
    </row>
    <row r="199" spans="2:9">
      <c r="B199" t="s">
        <v>383</v>
      </c>
      <c r="E199" s="7">
        <f>D38</f>
        <v>1605</v>
      </c>
      <c r="F199" s="7">
        <f>E202</f>
        <v>1653.15</v>
      </c>
      <c r="G199" s="7">
        <f>F202</f>
        <v>1702.7445</v>
      </c>
      <c r="H199" s="7">
        <f>G202</f>
        <v>1753.8268350000001</v>
      </c>
      <c r="I199" s="7">
        <f>H202</f>
        <v>1806.4416400500002</v>
      </c>
    </row>
    <row r="200" spans="2:9">
      <c r="B200" t="s">
        <v>359</v>
      </c>
      <c r="E200">
        <v>0</v>
      </c>
      <c r="F200">
        <v>0</v>
      </c>
      <c r="G200">
        <v>0</v>
      </c>
      <c r="H200">
        <v>0</v>
      </c>
      <c r="I200">
        <v>0</v>
      </c>
    </row>
    <row r="201" spans="2:9">
      <c r="B201" s="28" t="s">
        <v>354</v>
      </c>
      <c r="C201" s="28"/>
      <c r="D201" s="28"/>
      <c r="E201" s="161">
        <f>E208</f>
        <v>48.15</v>
      </c>
      <c r="F201" s="161">
        <f>F208</f>
        <v>49.594500000000004</v>
      </c>
      <c r="G201" s="161">
        <f>G208</f>
        <v>51.082335</v>
      </c>
      <c r="H201" s="161">
        <f>H208</f>
        <v>52.614805050000001</v>
      </c>
      <c r="I201" s="161">
        <f>I208</f>
        <v>54.193249201500002</v>
      </c>
    </row>
    <row r="202" spans="2:9">
      <c r="B202" s="6" t="s">
        <v>374</v>
      </c>
      <c r="E202" s="7">
        <f>E199-E200+E201</f>
        <v>1653.15</v>
      </c>
      <c r="F202" s="7">
        <f>F199-F200+F201</f>
        <v>1702.7445</v>
      </c>
      <c r="G202" s="7">
        <f>G199-G200+G201</f>
        <v>1753.8268350000001</v>
      </c>
      <c r="H202" s="7">
        <f>H199-H200+H201</f>
        <v>1806.4416400500002</v>
      </c>
      <c r="I202" s="7">
        <f>I199-I200+I201</f>
        <v>1860.6348892515002</v>
      </c>
    </row>
    <row r="204" spans="2:9">
      <c r="B204" t="s">
        <v>392</v>
      </c>
      <c r="E204" s="101">
        <v>0.08</v>
      </c>
      <c r="F204" s="101">
        <v>0.08</v>
      </c>
      <c r="G204" s="101">
        <v>0.08</v>
      </c>
      <c r="H204" s="101">
        <v>0.08</v>
      </c>
      <c r="I204" s="101">
        <v>0.08</v>
      </c>
    </row>
    <row r="205" spans="2:9">
      <c r="B205" t="s">
        <v>391</v>
      </c>
      <c r="E205" s="101">
        <v>0.03</v>
      </c>
      <c r="F205" s="101">
        <v>0.03</v>
      </c>
      <c r="G205" s="101">
        <v>0.03</v>
      </c>
      <c r="H205" s="101">
        <v>0.03</v>
      </c>
      <c r="I205" s="101">
        <v>0.03</v>
      </c>
    </row>
    <row r="207" spans="2:9">
      <c r="B207" t="s">
        <v>393</v>
      </c>
      <c r="E207" s="159">
        <f>IF($H$19=1,AVERAGE(E199,E201)*E204,0)</f>
        <v>66.126000000000005</v>
      </c>
      <c r="F207" s="159">
        <f>IF($H$19=1,AVERAGE(F199,F201)*F204,0)</f>
        <v>68.109780000000001</v>
      </c>
      <c r="G207" s="159">
        <f t="shared" ref="G207:I207" si="56">IF($H$19=1,AVERAGE(G199,G201)*G204,0)</f>
        <v>70.153073400000011</v>
      </c>
      <c r="H207" s="159">
        <f t="shared" si="56"/>
        <v>72.257665602000003</v>
      </c>
      <c r="I207" s="159">
        <f t="shared" si="56"/>
        <v>74.425395570060005</v>
      </c>
    </row>
    <row r="208" spans="2:9">
      <c r="B208" t="s">
        <v>394</v>
      </c>
      <c r="E208">
        <f>E205*(E199-E200)</f>
        <v>48.15</v>
      </c>
      <c r="F208" s="159">
        <f>F205*(F199-F200)</f>
        <v>49.594500000000004</v>
      </c>
      <c r="G208" s="159">
        <f>G205*(G199-G200)</f>
        <v>51.082335</v>
      </c>
      <c r="H208" s="159">
        <f>H205*(H199-H200)</f>
        <v>52.614805050000001</v>
      </c>
      <c r="I208" s="159">
        <f>I205*(I199-I200)</f>
        <v>54.193249201500002</v>
      </c>
    </row>
    <row r="210" spans="2:11">
      <c r="B210" s="170" t="s">
        <v>395</v>
      </c>
      <c r="C210" s="171"/>
      <c r="D210" s="171"/>
      <c r="E210" s="171"/>
      <c r="F210" s="171"/>
      <c r="G210" s="171"/>
      <c r="H210" s="171"/>
      <c r="I210" s="171"/>
    </row>
    <row r="211" spans="2:11">
      <c r="B211" t="s">
        <v>396</v>
      </c>
      <c r="E211">
        <v>0</v>
      </c>
      <c r="F211">
        <v>0</v>
      </c>
      <c r="G211">
        <v>0</v>
      </c>
      <c r="H211">
        <v>0</v>
      </c>
      <c r="I211">
        <v>0</v>
      </c>
    </row>
    <row r="212" spans="2:11">
      <c r="B212" t="s">
        <v>382</v>
      </c>
      <c r="E212" s="159">
        <f>E179</f>
        <v>31.747500000000002</v>
      </c>
      <c r="F212" s="159">
        <f t="shared" ref="F212:I212" si="57">F179</f>
        <v>31.747500000000002</v>
      </c>
      <c r="G212" s="159">
        <f t="shared" si="57"/>
        <v>31.747500000000002</v>
      </c>
      <c r="H212" s="159">
        <f t="shared" si="57"/>
        <v>31.747500000000002</v>
      </c>
      <c r="I212" s="159">
        <f t="shared" si="57"/>
        <v>31.747500000000002</v>
      </c>
    </row>
    <row r="213" spans="2:11">
      <c r="B213" t="s">
        <v>261</v>
      </c>
      <c r="E213" s="159">
        <f ca="1">E188</f>
        <v>1111.7812403951962</v>
      </c>
      <c r="F213" s="159">
        <f t="shared" ref="F213:I213" ca="1" si="58">F188</f>
        <v>1088.9331650982347</v>
      </c>
      <c r="G213" s="159">
        <f t="shared" ca="1" si="58"/>
        <v>1071.5615882085833</v>
      </c>
      <c r="H213" s="159">
        <f ca="1">H188</f>
        <v>1026.5984442491556</v>
      </c>
      <c r="I213" s="159">
        <f t="shared" ca="1" si="58"/>
        <v>958.35413294620787</v>
      </c>
    </row>
    <row r="214" spans="2:11">
      <c r="B214" t="s">
        <v>262</v>
      </c>
      <c r="E214">
        <f>E196</f>
        <v>224.70000000000002</v>
      </c>
      <c r="F214">
        <f>F196</f>
        <v>224.70000000000002</v>
      </c>
      <c r="G214">
        <f>G196</f>
        <v>224.70000000000002</v>
      </c>
      <c r="H214">
        <f>H196</f>
        <v>224.70000000000002</v>
      </c>
      <c r="I214">
        <f>I196</f>
        <v>224.70000000000002</v>
      </c>
    </row>
    <row r="215" spans="2:11">
      <c r="B215" t="s">
        <v>263</v>
      </c>
      <c r="E215" s="159">
        <f>E207</f>
        <v>66.126000000000005</v>
      </c>
      <c r="F215" s="159">
        <f>F207</f>
        <v>68.109780000000001</v>
      </c>
      <c r="G215" s="159">
        <f>G207</f>
        <v>70.153073400000011</v>
      </c>
      <c r="H215" s="159">
        <f>H207</f>
        <v>72.257665602000003</v>
      </c>
      <c r="I215" s="159">
        <f>I207</f>
        <v>74.425395570060005</v>
      </c>
    </row>
    <row r="216" spans="2:11">
      <c r="B216" s="99" t="s">
        <v>420</v>
      </c>
      <c r="C216" s="94"/>
      <c r="D216" s="94"/>
      <c r="E216" s="180">
        <f ca="1">SUM(E211:E215)</f>
        <v>1434.3547403951961</v>
      </c>
      <c r="F216" s="180">
        <f t="shared" ref="F216:I216" ca="1" si="59">SUM(F211:F215)</f>
        <v>1413.4904450982347</v>
      </c>
      <c r="G216" s="180">
        <f t="shared" ca="1" si="59"/>
        <v>1398.1621616085833</v>
      </c>
      <c r="H216" s="180">
        <f t="shared" ca="1" si="59"/>
        <v>1355.3036098511557</v>
      </c>
      <c r="I216" s="180">
        <f t="shared" ca="1" si="59"/>
        <v>1289.2270285162681</v>
      </c>
    </row>
    <row r="218" spans="2:11">
      <c r="C218" s="6" t="s">
        <v>397</v>
      </c>
      <c r="K218" t="s">
        <v>47</v>
      </c>
    </row>
    <row r="220" spans="2:11">
      <c r="B220" s="136" t="s">
        <v>398</v>
      </c>
      <c r="C220" s="166"/>
      <c r="D220" s="17" t="s">
        <v>313</v>
      </c>
      <c r="E220" s="139" t="str">
        <f>E161</f>
        <v>2026E</v>
      </c>
      <c r="F220" s="139" t="str">
        <f t="shared" ref="F220:I220" si="60">F161</f>
        <v>2027E</v>
      </c>
      <c r="G220" s="139" t="str">
        <f t="shared" si="60"/>
        <v>2028E</v>
      </c>
      <c r="H220" s="139" t="str">
        <f t="shared" si="60"/>
        <v>2029E</v>
      </c>
      <c r="I220" s="139" t="str">
        <f t="shared" si="60"/>
        <v>2030E</v>
      </c>
    </row>
    <row r="222" spans="2:11">
      <c r="B222" t="s">
        <v>399</v>
      </c>
      <c r="D222" s="7">
        <f t="shared" ref="D222:D227" si="61">H66</f>
        <v>500</v>
      </c>
      <c r="E222" s="7">
        <f ca="1">E154</f>
        <v>500</v>
      </c>
      <c r="F222" s="7">
        <f t="shared" ref="F222:I222" ca="1" si="62">F154</f>
        <v>500.00000000001228</v>
      </c>
      <c r="G222" s="7">
        <f t="shared" ca="1" si="62"/>
        <v>500.00000000300861</v>
      </c>
      <c r="H222" s="7">
        <f t="shared" ca="1" si="62"/>
        <v>500.00000036843539</v>
      </c>
      <c r="I222" s="7">
        <f t="shared" ca="1" si="62"/>
        <v>500.00001650482386</v>
      </c>
      <c r="J222" t="s">
        <v>47</v>
      </c>
    </row>
    <row r="223" spans="2:11">
      <c r="B223" t="s">
        <v>400</v>
      </c>
      <c r="D223" s="7">
        <f t="shared" si="61"/>
        <v>2634</v>
      </c>
      <c r="E223" s="159">
        <f>E261*(E104/365)</f>
        <v>2626.5010514370583</v>
      </c>
      <c r="F223" s="159">
        <f t="shared" ref="F223:H223" si="63">F261*(F104/365)</f>
        <v>2717.7276403256583</v>
      </c>
      <c r="G223" s="159">
        <f t="shared" si="63"/>
        <v>2808.9542292142573</v>
      </c>
      <c r="H223" s="159">
        <f t="shared" si="63"/>
        <v>2900.1808181028564</v>
      </c>
      <c r="I223" s="159">
        <f>I261*(I104/365)</f>
        <v>2991.4074069914564</v>
      </c>
    </row>
    <row r="224" spans="2:11">
      <c r="B224" t="s">
        <v>5</v>
      </c>
      <c r="D224" s="7">
        <f>H68</f>
        <v>518</v>
      </c>
      <c r="E224" s="7">
        <f>D224</f>
        <v>518</v>
      </c>
      <c r="F224" s="7">
        <f t="shared" ref="F224:I224" si="64">E224</f>
        <v>518</v>
      </c>
      <c r="G224" s="7">
        <f t="shared" si="64"/>
        <v>518</v>
      </c>
      <c r="H224" s="7">
        <f t="shared" si="64"/>
        <v>518</v>
      </c>
      <c r="I224" s="7">
        <f t="shared" si="64"/>
        <v>518</v>
      </c>
    </row>
    <row r="225" spans="2:15">
      <c r="B225" t="s">
        <v>1</v>
      </c>
      <c r="D225" s="7">
        <f t="shared" si="61"/>
        <v>5832</v>
      </c>
      <c r="E225" s="159">
        <f>E263*(E105/365)</f>
        <v>5512.6558744168278</v>
      </c>
      <c r="F225" s="159">
        <f t="shared" ref="F225:I225" si="65">F263*(F105/365)</f>
        <v>5610.419791653444</v>
      </c>
      <c r="G225" s="159">
        <f t="shared" si="65"/>
        <v>5702.4979999736897</v>
      </c>
      <c r="H225" s="159">
        <f t="shared" si="65"/>
        <v>5788.9494761189626</v>
      </c>
      <c r="I225" s="159">
        <f t="shared" si="65"/>
        <v>5869.8331968306638</v>
      </c>
    </row>
    <row r="226" spans="2:15">
      <c r="B226" t="s">
        <v>6</v>
      </c>
      <c r="D226" s="7">
        <f>H70</f>
        <v>167</v>
      </c>
      <c r="E226" s="7">
        <f>D226</f>
        <v>167</v>
      </c>
      <c r="F226" s="7">
        <f t="shared" ref="F226:I226" si="66">E226</f>
        <v>167</v>
      </c>
      <c r="G226" s="7">
        <f t="shared" si="66"/>
        <v>167</v>
      </c>
      <c r="H226" s="7">
        <f t="shared" si="66"/>
        <v>167</v>
      </c>
      <c r="I226" s="7">
        <f t="shared" si="66"/>
        <v>167</v>
      </c>
    </row>
    <row r="227" spans="2:15">
      <c r="B227" s="28" t="s">
        <v>314</v>
      </c>
      <c r="C227" s="28"/>
      <c r="D227" s="98">
        <f t="shared" si="61"/>
        <v>1208</v>
      </c>
      <c r="E227" s="161">
        <f>E266*E104</f>
        <v>1251.1544816922265</v>
      </c>
      <c r="F227" s="161">
        <f t="shared" ref="F227:I227" si="67">F266*F104</f>
        <v>1294.6109864878429</v>
      </c>
      <c r="G227" s="161">
        <f t="shared" si="67"/>
        <v>1338.0674912834588</v>
      </c>
      <c r="H227" s="161">
        <f t="shared" si="67"/>
        <v>1381.5239960790748</v>
      </c>
      <c r="I227" s="161">
        <f t="shared" si="67"/>
        <v>1424.9805008746912</v>
      </c>
    </row>
    <row r="228" spans="2:15">
      <c r="B228" s="6" t="s">
        <v>401</v>
      </c>
      <c r="D228" s="8">
        <f>SUM(D222:D227)</f>
        <v>10859</v>
      </c>
      <c r="E228" s="8">
        <f t="shared" ref="E228:I228" ca="1" si="68">SUM(E222:E227)</f>
        <v>10575.311407546113</v>
      </c>
      <c r="F228" s="8">
        <f t="shared" ca="1" si="68"/>
        <v>10807.758418466958</v>
      </c>
      <c r="G228" s="8">
        <f t="shared" ca="1" si="68"/>
        <v>11034.519720474414</v>
      </c>
      <c r="H228" s="8">
        <f t="shared" ca="1" si="68"/>
        <v>11255.654290669328</v>
      </c>
      <c r="I228" s="8">
        <f t="shared" ca="1" si="68"/>
        <v>11471.221121201635</v>
      </c>
    </row>
    <row r="229" spans="2:15">
      <c r="E229" t="s">
        <v>47</v>
      </c>
      <c r="O229" t="s">
        <v>47</v>
      </c>
    </row>
    <row r="230" spans="2:15">
      <c r="B230" t="s">
        <v>402</v>
      </c>
      <c r="D230" s="7">
        <f>H74</f>
        <v>2380.6</v>
      </c>
      <c r="E230" s="7">
        <f>+D230+E142-E137-E133</f>
        <v>1749.0605109399194</v>
      </c>
      <c r="F230" s="7">
        <f>+E230+F142-F137-F133</f>
        <v>1097.0014041386567</v>
      </c>
      <c r="G230" s="7">
        <f t="shared" ref="G230:I230" si="69">+F230+G142-G137-G133</f>
        <v>424.42267959621245</v>
      </c>
      <c r="H230" s="7">
        <f>+G230+H142-H137-H133</f>
        <v>-268.67566268741371</v>
      </c>
      <c r="I230" s="7">
        <f t="shared" si="69"/>
        <v>-982.29362271222169</v>
      </c>
    </row>
    <row r="231" spans="2:15">
      <c r="B231" t="s">
        <v>2</v>
      </c>
      <c r="D231" s="7">
        <f>H75</f>
        <v>18921.48</v>
      </c>
      <c r="E231" s="7">
        <f>D231</f>
        <v>18921.48</v>
      </c>
      <c r="F231" s="7">
        <f t="shared" ref="F231:I231" si="70">E231</f>
        <v>18921.48</v>
      </c>
      <c r="G231" s="7">
        <f t="shared" si="70"/>
        <v>18921.48</v>
      </c>
      <c r="H231" s="7">
        <f t="shared" si="70"/>
        <v>18921.48</v>
      </c>
      <c r="I231" s="7">
        <f t="shared" si="70"/>
        <v>18921.48</v>
      </c>
    </row>
    <row r="232" spans="2:15">
      <c r="B232" s="28" t="s">
        <v>403</v>
      </c>
      <c r="C232" s="28"/>
      <c r="D232" s="98">
        <f t="shared" ref="D232" si="71">H77</f>
        <v>4519</v>
      </c>
      <c r="E232" s="98">
        <f>D232-E136</f>
        <v>4247.2666666666664</v>
      </c>
      <c r="F232" s="98">
        <f t="shared" ref="F232:I232" si="72">E232-F136</f>
        <v>3975.5333333333328</v>
      </c>
      <c r="G232" s="98">
        <f t="shared" si="72"/>
        <v>3703.7999999999993</v>
      </c>
      <c r="H232" s="98">
        <f t="shared" si="72"/>
        <v>3432.0666666666657</v>
      </c>
      <c r="I232" s="98">
        <f t="shared" si="72"/>
        <v>3160.3333333333321</v>
      </c>
    </row>
    <row r="233" spans="2:15">
      <c r="B233" s="6" t="s">
        <v>17</v>
      </c>
      <c r="D233" s="8">
        <f>SUM(D228:D232)</f>
        <v>36680.080000000002</v>
      </c>
      <c r="E233" s="8">
        <f t="shared" ref="E233:I233" ca="1" si="73">SUM(E228:E232)</f>
        <v>35493.118585152697</v>
      </c>
      <c r="F233" s="8">
        <f t="shared" ca="1" si="73"/>
        <v>34801.77315593895</v>
      </c>
      <c r="G233" s="8">
        <f t="shared" ca="1" si="73"/>
        <v>34084.222400070626</v>
      </c>
      <c r="H233" s="8">
        <f t="shared" ca="1" si="73"/>
        <v>33340.525294648578</v>
      </c>
      <c r="I233" s="8">
        <f t="shared" ca="1" si="73"/>
        <v>32570.740831822746</v>
      </c>
    </row>
    <row r="235" spans="2:15">
      <c r="B235" t="s">
        <v>260</v>
      </c>
    </row>
    <row r="236" spans="2:15">
      <c r="B236" t="s">
        <v>317</v>
      </c>
      <c r="D236" s="7">
        <f>H81</f>
        <v>2910</v>
      </c>
      <c r="E236" s="159">
        <f>E262*(E105/365)</f>
        <v>3097.3605929755772</v>
      </c>
      <c r="F236" s="159">
        <f t="shared" ref="F236:I236" si="74">F262*(F105/365)</f>
        <v>3191.5746071975404</v>
      </c>
      <c r="G236" s="159">
        <f t="shared" si="74"/>
        <v>3284.8912352325437</v>
      </c>
      <c r="H236" s="159">
        <f t="shared" si="74"/>
        <v>3377.310477080588</v>
      </c>
      <c r="I236" s="159">
        <f t="shared" si="74"/>
        <v>3468.8323327416738</v>
      </c>
    </row>
    <row r="237" spans="2:15">
      <c r="B237" t="s">
        <v>404</v>
      </c>
      <c r="D237" s="7">
        <f>H82</f>
        <v>2383</v>
      </c>
      <c r="E237">
        <f>E264*E104</f>
        <v>2468.1300743978277</v>
      </c>
      <c r="F237">
        <f t="shared" ref="F237:I237" si="75">F264*F104</f>
        <v>2553.8559443712993</v>
      </c>
      <c r="G237">
        <f t="shared" si="75"/>
        <v>2639.5818143447705</v>
      </c>
      <c r="H237">
        <f t="shared" si="75"/>
        <v>2725.3076843182412</v>
      </c>
      <c r="I237">
        <f t="shared" si="75"/>
        <v>2811.0335542917128</v>
      </c>
    </row>
    <row r="238" spans="2:15">
      <c r="B238" s="28" t="s">
        <v>319</v>
      </c>
      <c r="C238" s="28"/>
      <c r="D238" s="98">
        <f>H83</f>
        <v>652</v>
      </c>
      <c r="E238" s="161">
        <f>E265*E104</f>
        <v>675.2919884630229</v>
      </c>
      <c r="F238" s="161">
        <f t="shared" ref="F238:I238" si="76">F265*F104</f>
        <v>698.74698939575615</v>
      </c>
      <c r="G238" s="161">
        <f t="shared" si="76"/>
        <v>722.20199032848927</v>
      </c>
      <c r="H238" s="161">
        <f t="shared" si="76"/>
        <v>745.6569912612224</v>
      </c>
      <c r="I238" s="161">
        <f t="shared" si="76"/>
        <v>769.11199219395576</v>
      </c>
    </row>
    <row r="239" spans="2:15">
      <c r="B239" s="6" t="s">
        <v>405</v>
      </c>
      <c r="D239" s="8">
        <f>SUM(D236:D238)</f>
        <v>5945</v>
      </c>
      <c r="E239" s="8">
        <f t="shared" ref="E239:I239" si="77">SUM(E236:E238)</f>
        <v>6240.7826558364277</v>
      </c>
      <c r="F239" s="8">
        <f t="shared" si="77"/>
        <v>6444.1775409645952</v>
      </c>
      <c r="G239" s="8">
        <f t="shared" si="77"/>
        <v>6646.6750399058037</v>
      </c>
      <c r="H239" s="8">
        <f t="shared" si="77"/>
        <v>6848.2751526600514</v>
      </c>
      <c r="I239" s="8">
        <f t="shared" si="77"/>
        <v>7048.9778792273428</v>
      </c>
    </row>
    <row r="241" spans="2:14">
      <c r="B241" t="s">
        <v>321</v>
      </c>
      <c r="D241" s="7">
        <f>H86</f>
        <v>0</v>
      </c>
      <c r="E241" s="7">
        <f t="shared" ref="E241:I241" si="78">I86</f>
        <v>0</v>
      </c>
      <c r="F241" s="7">
        <f t="shared" si="78"/>
        <v>0</v>
      </c>
      <c r="G241" s="7" t="str">
        <f t="shared" si="78"/>
        <v xml:space="preserve"> </v>
      </c>
      <c r="H241" s="7">
        <f t="shared" si="78"/>
        <v>0</v>
      </c>
      <c r="I241" s="7">
        <f t="shared" si="78"/>
        <v>0</v>
      </c>
    </row>
    <row r="242" spans="2:14">
      <c r="B242" t="s">
        <v>261</v>
      </c>
      <c r="D242" s="7">
        <f t="shared" ref="D242:D246" si="79">H87</f>
        <v>14445</v>
      </c>
      <c r="E242" s="7">
        <f ca="1">E185</f>
        <v>13701.36051633408</v>
      </c>
      <c r="F242" s="7">
        <f t="shared" ref="F242:I242" ca="1" si="80">F185</f>
        <v>13352.879610330134</v>
      </c>
      <c r="G242" s="7">
        <f t="shared" ca="1" si="80"/>
        <v>12782.768882562128</v>
      </c>
      <c r="H242" s="7">
        <f t="shared" ca="1" si="80"/>
        <v>11954.543027053069</v>
      </c>
      <c r="I242" s="7">
        <f t="shared" ca="1" si="80"/>
        <v>10863.412518916777</v>
      </c>
    </row>
    <row r="243" spans="2:14">
      <c r="B243" t="s">
        <v>262</v>
      </c>
      <c r="D243" s="7">
        <f t="shared" si="79"/>
        <v>3210</v>
      </c>
      <c r="E243" s="7">
        <f>E193</f>
        <v>3210</v>
      </c>
      <c r="F243" s="7">
        <f t="shared" ref="F243:I243" si="81">F193</f>
        <v>3210</v>
      </c>
      <c r="G243" s="7">
        <f t="shared" si="81"/>
        <v>3210</v>
      </c>
      <c r="H243" s="7">
        <f t="shared" si="81"/>
        <v>3210</v>
      </c>
      <c r="I243" s="7">
        <f t="shared" si="81"/>
        <v>3210</v>
      </c>
    </row>
    <row r="244" spans="2:14">
      <c r="B244" t="s">
        <v>406</v>
      </c>
      <c r="D244" s="7">
        <f t="shared" si="79"/>
        <v>1605</v>
      </c>
      <c r="E244" s="7">
        <f>E202</f>
        <v>1653.15</v>
      </c>
      <c r="F244" s="7">
        <f t="shared" ref="F244:I244" si="82">F202</f>
        <v>1702.7445</v>
      </c>
      <c r="G244" s="7">
        <f t="shared" si="82"/>
        <v>1753.8268350000001</v>
      </c>
      <c r="H244" s="7">
        <f t="shared" si="82"/>
        <v>1806.4416400500002</v>
      </c>
      <c r="I244" s="7">
        <f t="shared" si="82"/>
        <v>1860.6348892515002</v>
      </c>
      <c r="K244" t="s">
        <v>47</v>
      </c>
    </row>
    <row r="245" spans="2:14">
      <c r="B245" t="s">
        <v>322</v>
      </c>
      <c r="D245" s="7">
        <f>H90</f>
        <v>-481.5</v>
      </c>
      <c r="E245" s="7">
        <f>D245+E115</f>
        <v>-385.2</v>
      </c>
      <c r="F245" s="7">
        <f t="shared" ref="F245:I245" si="83">E245+F115</f>
        <v>-288.89999999999998</v>
      </c>
      <c r="G245" s="7">
        <f t="shared" si="83"/>
        <v>-192.59999999999997</v>
      </c>
      <c r="H245" s="7">
        <f t="shared" si="83"/>
        <v>-96.299999999999969</v>
      </c>
      <c r="I245" s="7">
        <f t="shared" si="83"/>
        <v>0</v>
      </c>
    </row>
    <row r="246" spans="2:14">
      <c r="B246" s="28" t="s">
        <v>305</v>
      </c>
      <c r="C246" s="28"/>
      <c r="D246" s="98">
        <f t="shared" si="79"/>
        <v>1345.08</v>
      </c>
      <c r="E246" s="98">
        <f>D246-E138</f>
        <v>1251.3319999999999</v>
      </c>
      <c r="F246" s="98">
        <f t="shared" ref="F246:I246" si="84">E246-F138</f>
        <v>1157.5839999999998</v>
      </c>
      <c r="G246" s="98">
        <f t="shared" si="84"/>
        <v>1063.8359999999998</v>
      </c>
      <c r="H246" s="98">
        <f t="shared" si="84"/>
        <v>970.08799999999974</v>
      </c>
      <c r="I246" s="98">
        <f t="shared" si="84"/>
        <v>876.33999999999969</v>
      </c>
    </row>
    <row r="247" spans="2:14">
      <c r="B247" s="6" t="s">
        <v>323</v>
      </c>
      <c r="D247" s="8">
        <f>SUM(D239:D246)</f>
        <v>26068.58</v>
      </c>
      <c r="E247" s="8">
        <f t="shared" ref="E247:I247" ca="1" si="85">SUM(E239:E246)</f>
        <v>25671.425172170508</v>
      </c>
      <c r="F247" s="8">
        <f t="shared" ca="1" si="85"/>
        <v>25578.485651294726</v>
      </c>
      <c r="G247" s="8">
        <f t="shared" ca="1" si="85"/>
        <v>25264.506757467931</v>
      </c>
      <c r="H247" s="8">
        <f t="shared" ca="1" si="85"/>
        <v>24693.04781976312</v>
      </c>
      <c r="I247" s="8">
        <f t="shared" ca="1" si="85"/>
        <v>23859.36528739562</v>
      </c>
    </row>
    <row r="249" spans="2:14">
      <c r="B249" s="99" t="s">
        <v>324</v>
      </c>
      <c r="C249" s="99"/>
      <c r="D249" s="24">
        <f>H94</f>
        <v>10611.5</v>
      </c>
      <c r="E249" s="24">
        <f ca="1">D249+E118</f>
        <v>9821.6934129821911</v>
      </c>
      <c r="F249" s="24">
        <f t="shared" ref="F249:I249" ca="1" si="86">E249+F118</f>
        <v>9223.2875046442059</v>
      </c>
      <c r="G249" s="24">
        <f t="shared" ca="1" si="86"/>
        <v>8819.7156425997</v>
      </c>
      <c r="H249" s="24">
        <f t="shared" ca="1" si="86"/>
        <v>8647.4774745200484</v>
      </c>
      <c r="I249" s="24">
        <f t="shared" ca="1" si="86"/>
        <v>8711.37552829376</v>
      </c>
      <c r="N249" t="s">
        <v>47</v>
      </c>
    </row>
    <row r="251" spans="2:14">
      <c r="B251" s="99" t="s">
        <v>407</v>
      </c>
      <c r="C251" s="94"/>
      <c r="D251" s="24">
        <f>D247+D249</f>
        <v>36680.080000000002</v>
      </c>
      <c r="E251" s="24">
        <f ca="1">E247+E249</f>
        <v>35493.118585152697</v>
      </c>
      <c r="F251" s="24">
        <f t="shared" ref="F251:I251" ca="1" si="87">F247+F249</f>
        <v>34801.773155938936</v>
      </c>
      <c r="G251" s="24">
        <f t="shared" ca="1" si="87"/>
        <v>34084.222400067629</v>
      </c>
      <c r="H251" s="24">
        <f t="shared" ca="1" si="87"/>
        <v>33340.525294283172</v>
      </c>
      <c r="I251" s="24">
        <f t="shared" ca="1" si="87"/>
        <v>32570.74081568938</v>
      </c>
    </row>
    <row r="253" spans="2:14">
      <c r="B253" s="38" t="s">
        <v>326</v>
      </c>
      <c r="D253" s="7">
        <f>D233-D251</f>
        <v>0</v>
      </c>
      <c r="E253" s="7">
        <f ca="1">E233-E251</f>
        <v>0</v>
      </c>
      <c r="F253" s="7">
        <f t="shared" ref="F253:I253" ca="1" si="88">F233-F251</f>
        <v>0</v>
      </c>
      <c r="G253" s="7">
        <f t="shared" ca="1" si="88"/>
        <v>2.9976945370435715E-9</v>
      </c>
      <c r="H253" s="7">
        <f ca="1">H233-H251</f>
        <v>3.6540586734190583E-7</v>
      </c>
      <c r="I253" s="7">
        <f t="shared" ca="1" si="88"/>
        <v>1.6133366443682462E-5</v>
      </c>
    </row>
    <row r="255" spans="2:14">
      <c r="B255" s="127" t="s">
        <v>408</v>
      </c>
    </row>
    <row r="256" spans="2:14">
      <c r="B256" t="s">
        <v>409</v>
      </c>
      <c r="D256" s="7">
        <f>D223+D225+D227</f>
        <v>9674</v>
      </c>
      <c r="E256" s="7">
        <f t="shared" ref="E256:I256" si="89">E223+E225+E227</f>
        <v>9390.3114075461126</v>
      </c>
      <c r="F256" s="7">
        <f t="shared" si="89"/>
        <v>9622.7584184669449</v>
      </c>
      <c r="G256" s="7">
        <f t="shared" si="89"/>
        <v>9849.5197204714059</v>
      </c>
      <c r="H256" s="7">
        <f t="shared" si="89"/>
        <v>10070.654290300894</v>
      </c>
      <c r="I256" s="7">
        <f t="shared" si="89"/>
        <v>10286.221104696811</v>
      </c>
    </row>
    <row r="257" spans="2:10">
      <c r="B257" s="28" t="s">
        <v>411</v>
      </c>
      <c r="C257" s="28"/>
      <c r="D257" s="98">
        <f>SUM(D236:D238)</f>
        <v>5945</v>
      </c>
      <c r="E257" s="98">
        <f t="shared" ref="E257:I257" si="90">SUM(E236:E238)</f>
        <v>6240.7826558364277</v>
      </c>
      <c r="F257" s="98">
        <f t="shared" si="90"/>
        <v>6444.1775409645952</v>
      </c>
      <c r="G257" s="98">
        <f t="shared" si="90"/>
        <v>6646.6750399058037</v>
      </c>
      <c r="H257" s="98">
        <f t="shared" si="90"/>
        <v>6848.2751526600514</v>
      </c>
      <c r="I257" s="98">
        <f t="shared" si="90"/>
        <v>7048.9778792273428</v>
      </c>
    </row>
    <row r="258" spans="2:10">
      <c r="B258" s="6" t="s">
        <v>412</v>
      </c>
      <c r="D258" s="8">
        <f>D256-D257</f>
        <v>3729</v>
      </c>
      <c r="E258" s="8">
        <f t="shared" ref="E258:I258" si="91">E256-E257</f>
        <v>3149.5287517096849</v>
      </c>
      <c r="F258" s="8">
        <f t="shared" si="91"/>
        <v>3178.5808775023497</v>
      </c>
      <c r="G258" s="8">
        <f t="shared" si="91"/>
        <v>3202.8446805656022</v>
      </c>
      <c r="H258" s="8">
        <f t="shared" si="91"/>
        <v>3222.3791376408426</v>
      </c>
      <c r="I258" s="8">
        <f t="shared" si="91"/>
        <v>3237.2432254694686</v>
      </c>
    </row>
    <row r="260" spans="2:10">
      <c r="B260" s="165" t="s">
        <v>413</v>
      </c>
      <c r="C260" s="164"/>
      <c r="D260" s="164"/>
      <c r="E260" s="164"/>
      <c r="F260" s="164"/>
      <c r="G260" s="164"/>
      <c r="H260" s="164"/>
      <c r="I260" s="164"/>
    </row>
    <row r="261" spans="2:10">
      <c r="B261" s="38" t="s">
        <v>414</v>
      </c>
      <c r="D261" s="179">
        <f>'Ratio Analysis'!$G$33</f>
        <v>37.123755592277618</v>
      </c>
      <c r="E261" s="178">
        <f>'Ratio Analysis'!$G$33</f>
        <v>37.123755592277618</v>
      </c>
      <c r="F261" s="178">
        <f>'Ratio Analysis'!$G$33</f>
        <v>37.123755592277618</v>
      </c>
      <c r="G261" s="178">
        <f>'Ratio Analysis'!$G$33</f>
        <v>37.123755592277618</v>
      </c>
      <c r="H261" s="178">
        <f>'Ratio Analysis'!$G$33</f>
        <v>37.123755592277618</v>
      </c>
      <c r="I261" s="178">
        <f>'Ratio Analysis'!$G$33</f>
        <v>37.123755592277618</v>
      </c>
    </row>
    <row r="262" spans="2:10">
      <c r="B262" s="38" t="s">
        <v>130</v>
      </c>
      <c r="D262" s="179">
        <f>'Ratio Analysis'!$G$34</f>
        <v>91.295602198900554</v>
      </c>
      <c r="E262" s="178">
        <f>'Ratio Analysis'!$G$34</f>
        <v>91.295602198900554</v>
      </c>
      <c r="F262" s="178">
        <f>'Ratio Analysis'!$G$34</f>
        <v>91.295602198900554</v>
      </c>
      <c r="G262" s="178">
        <f>'Ratio Analysis'!$G$34</f>
        <v>91.295602198900554</v>
      </c>
      <c r="H262" s="178">
        <f>'Ratio Analysis'!$G$34</f>
        <v>91.295602198900554</v>
      </c>
      <c r="I262" s="178">
        <f>'Ratio Analysis'!$G$34</f>
        <v>91.295602198900554</v>
      </c>
    </row>
    <row r="263" spans="2:10">
      <c r="B263" s="38" t="s">
        <v>131</v>
      </c>
      <c r="D263" s="179">
        <f>'Ratio Analysis'!G35</f>
        <v>164.48713143428287</v>
      </c>
      <c r="E263" s="178">
        <f>D263-2</f>
        <v>162.48713143428287</v>
      </c>
      <c r="F263" s="178">
        <f t="shared" ref="F263:I263" si="92">E263-2</f>
        <v>160.48713143428287</v>
      </c>
      <c r="G263" s="178">
        <f t="shared" si="92"/>
        <v>158.48713143428287</v>
      </c>
      <c r="H263" s="178">
        <f t="shared" si="92"/>
        <v>156.48713143428287</v>
      </c>
      <c r="I263" s="178">
        <f t="shared" si="92"/>
        <v>154.48713143428287</v>
      </c>
    </row>
    <row r="264" spans="2:10">
      <c r="B264" s="38" t="s">
        <v>416</v>
      </c>
      <c r="D264" s="154">
        <f>D237/D104</f>
        <v>9.5576144066097143E-2</v>
      </c>
      <c r="E264" s="154">
        <f>D264</f>
        <v>9.5576144066097143E-2</v>
      </c>
      <c r="F264" s="154">
        <f>E264</f>
        <v>9.5576144066097143E-2</v>
      </c>
      <c r="G264" s="154">
        <f>F264</f>
        <v>9.5576144066097143E-2</v>
      </c>
      <c r="H264" s="154">
        <f t="shared" ref="H264:I264" si="93">G264</f>
        <v>9.5576144066097143E-2</v>
      </c>
      <c r="I264" s="154">
        <f t="shared" si="93"/>
        <v>9.5576144066097143E-2</v>
      </c>
    </row>
    <row r="265" spans="2:10">
      <c r="B265" s="38" t="s">
        <v>415</v>
      </c>
      <c r="D265" s="154">
        <f>D238/D104</f>
        <v>2.6150082220350538E-2</v>
      </c>
      <c r="E265" s="154">
        <f>D265</f>
        <v>2.6150082220350538E-2</v>
      </c>
      <c r="F265" s="154">
        <f t="shared" ref="F265:I265" si="94">E265</f>
        <v>2.6150082220350538E-2</v>
      </c>
      <c r="G265" s="154">
        <f t="shared" si="94"/>
        <v>2.6150082220350538E-2</v>
      </c>
      <c r="H265" s="154">
        <f t="shared" si="94"/>
        <v>2.6150082220350538E-2</v>
      </c>
      <c r="I265" s="154">
        <f t="shared" si="94"/>
        <v>2.6150082220350538E-2</v>
      </c>
      <c r="J265" t="s">
        <v>47</v>
      </c>
    </row>
    <row r="266" spans="2:10">
      <c r="B266" s="38" t="s">
        <v>417</v>
      </c>
      <c r="D266" s="154">
        <f>D227/D104</f>
        <v>4.8449845586170937E-2</v>
      </c>
      <c r="E266" s="154">
        <f>D266</f>
        <v>4.8449845586170937E-2</v>
      </c>
      <c r="F266" s="154">
        <f t="shared" ref="F266:I266" si="95">E266</f>
        <v>4.8449845586170937E-2</v>
      </c>
      <c r="G266" s="154">
        <f t="shared" si="95"/>
        <v>4.8449845586170937E-2</v>
      </c>
      <c r="H266" s="154">
        <f t="shared" si="95"/>
        <v>4.8449845586170937E-2</v>
      </c>
      <c r="I266" s="154">
        <f t="shared" si="95"/>
        <v>4.8449845586170937E-2</v>
      </c>
      <c r="J266" s="51"/>
    </row>
    <row r="267" spans="2:10">
      <c r="E267" t="s">
        <v>47</v>
      </c>
    </row>
    <row r="268" spans="2:10">
      <c r="B268" s="165" t="s">
        <v>418</v>
      </c>
      <c r="C268" s="164"/>
      <c r="D268" s="164"/>
      <c r="E268" s="164"/>
      <c r="F268" s="164"/>
      <c r="G268" s="164"/>
      <c r="H268" s="164"/>
      <c r="I268" s="164"/>
    </row>
    <row r="269" spans="2:10">
      <c r="B269" s="38" t="s">
        <v>260</v>
      </c>
      <c r="E269" s="38">
        <v>0</v>
      </c>
      <c r="F269" s="38">
        <v>0</v>
      </c>
      <c r="G269" s="38">
        <v>0</v>
      </c>
      <c r="H269" s="38">
        <v>0</v>
      </c>
      <c r="I269" s="38">
        <v>0</v>
      </c>
    </row>
    <row r="270" spans="2:10">
      <c r="B270" s="38" t="s">
        <v>422</v>
      </c>
      <c r="D270" s="7"/>
      <c r="E270" s="150">
        <f ca="1">E242</f>
        <v>13701.36051633408</v>
      </c>
      <c r="F270" s="150">
        <f t="shared" ref="F270:I270" ca="1" si="96">F242</f>
        <v>13352.879610330134</v>
      </c>
      <c r="G270" s="150">
        <f t="shared" ca="1" si="96"/>
        <v>12782.768882562128</v>
      </c>
      <c r="H270" s="150">
        <f t="shared" ca="1" si="96"/>
        <v>11954.543027053069</v>
      </c>
      <c r="I270" s="150">
        <f t="shared" ca="1" si="96"/>
        <v>10863.412518916777</v>
      </c>
    </row>
    <row r="271" spans="2:10">
      <c r="B271" s="38" t="s">
        <v>262</v>
      </c>
      <c r="E271" s="150">
        <f t="shared" ref="E271:I271" si="97">E243</f>
        <v>3210</v>
      </c>
      <c r="F271" s="150">
        <f t="shared" si="97"/>
        <v>3210</v>
      </c>
      <c r="G271" s="150">
        <f t="shared" si="97"/>
        <v>3210</v>
      </c>
      <c r="H271" s="150">
        <f t="shared" si="97"/>
        <v>3210</v>
      </c>
      <c r="I271" s="150">
        <f t="shared" si="97"/>
        <v>3210</v>
      </c>
    </row>
    <row r="272" spans="2:10">
      <c r="B272" s="46" t="s">
        <v>263</v>
      </c>
      <c r="C272" s="28"/>
      <c r="D272" s="28"/>
      <c r="E272" s="186">
        <f>E244</f>
        <v>1653.15</v>
      </c>
      <c r="F272" s="186">
        <f t="shared" ref="F272:I272" si="98">F244</f>
        <v>1702.7445</v>
      </c>
      <c r="G272" s="186">
        <f t="shared" si="98"/>
        <v>1753.8268350000001</v>
      </c>
      <c r="H272" s="186">
        <f t="shared" si="98"/>
        <v>1806.4416400500002</v>
      </c>
      <c r="I272" s="186">
        <f t="shared" si="98"/>
        <v>1860.6348892515002</v>
      </c>
    </row>
    <row r="273" spans="2:9">
      <c r="B273" s="185" t="s">
        <v>168</v>
      </c>
      <c r="C273" s="6"/>
      <c r="D273" s="6"/>
      <c r="E273" s="187">
        <f ca="1">SUM(E269:E272)</f>
        <v>18564.510516334081</v>
      </c>
      <c r="F273" s="187">
        <f t="shared" ref="F273:I273" ca="1" si="99">SUM(F269:F272)</f>
        <v>18265.624110330136</v>
      </c>
      <c r="G273" s="187">
        <f t="shared" ca="1" si="99"/>
        <v>17746.59571756213</v>
      </c>
      <c r="H273" s="187">
        <f t="shared" ca="1" si="99"/>
        <v>16970.984667103068</v>
      </c>
      <c r="I273" s="187">
        <f t="shared" ca="1" si="99"/>
        <v>15934.047408168277</v>
      </c>
    </row>
    <row r="274" spans="2:9">
      <c r="B274" s="46" t="s">
        <v>287</v>
      </c>
      <c r="C274" s="28"/>
      <c r="D274" s="28"/>
      <c r="E274" s="186">
        <f ca="1">E222</f>
        <v>500</v>
      </c>
      <c r="F274" s="186">
        <f t="shared" ref="F274:I274" ca="1" si="100">F222</f>
        <v>500.00000000001228</v>
      </c>
      <c r="G274" s="186">
        <f t="shared" ca="1" si="100"/>
        <v>500.00000000300861</v>
      </c>
      <c r="H274" s="186">
        <f t="shared" ca="1" si="100"/>
        <v>500.00000036843539</v>
      </c>
      <c r="I274" s="186">
        <f t="shared" ca="1" si="100"/>
        <v>500.00001650482386</v>
      </c>
    </row>
    <row r="275" spans="2:9">
      <c r="B275" s="185" t="s">
        <v>423</v>
      </c>
      <c r="C275" s="6"/>
      <c r="D275" s="6"/>
      <c r="E275" s="187">
        <f ca="1">E273-E274</f>
        <v>18064.510516334081</v>
      </c>
      <c r="F275" s="187">
        <f t="shared" ref="F275:I275" ca="1" si="101">F273-F274</f>
        <v>17765.624110330125</v>
      </c>
      <c r="G275" s="187">
        <f t="shared" ca="1" si="101"/>
        <v>17246.595717559121</v>
      </c>
      <c r="H275" s="187">
        <f t="shared" ca="1" si="101"/>
        <v>16470.984666734632</v>
      </c>
      <c r="I275" s="187">
        <f t="shared" ca="1" si="101"/>
        <v>15434.047391663453</v>
      </c>
    </row>
    <row r="277" spans="2:9">
      <c r="C277" s="6" t="s">
        <v>424</v>
      </c>
    </row>
    <row r="279" spans="2:9">
      <c r="B279" s="17" t="s">
        <v>425</v>
      </c>
      <c r="C279" s="17"/>
      <c r="D279" s="139" t="str">
        <f>D220</f>
        <v>2025PF</v>
      </c>
      <c r="E279" s="139" t="str">
        <f t="shared" ref="E279:I279" si="102">E220</f>
        <v>2026E</v>
      </c>
      <c r="F279" s="139" t="str">
        <f t="shared" si="102"/>
        <v>2027E</v>
      </c>
      <c r="G279" s="139" t="str">
        <f t="shared" si="102"/>
        <v>2028E</v>
      </c>
      <c r="H279" s="139" t="str">
        <f t="shared" si="102"/>
        <v>2029E</v>
      </c>
      <c r="I279" s="139" t="str">
        <f t="shared" si="102"/>
        <v>2030E</v>
      </c>
    </row>
    <row r="281" spans="2:9">
      <c r="B281" s="6" t="s">
        <v>426</v>
      </c>
      <c r="C281" s="6"/>
      <c r="D281" s="6"/>
      <c r="E281" s="157">
        <f>E108</f>
        <v>2258.5668773339239</v>
      </c>
      <c r="F281" s="157">
        <f>F108</f>
        <v>2470.6171734106119</v>
      </c>
      <c r="G281" s="157">
        <f>G108</f>
        <v>2691.6368489083998</v>
      </c>
      <c r="H281" s="157">
        <f>H108</f>
        <v>2921.6259038272929</v>
      </c>
      <c r="I281" s="157">
        <f>I108</f>
        <v>3160.5843381672876</v>
      </c>
    </row>
    <row r="282" spans="2:9">
      <c r="B282" s="28" t="s">
        <v>427</v>
      </c>
      <c r="C282" s="28"/>
      <c r="D282" s="28"/>
      <c r="E282" s="188">
        <v>11</v>
      </c>
      <c r="F282" s="188">
        <v>11</v>
      </c>
      <c r="G282" s="188">
        <v>11</v>
      </c>
      <c r="H282" s="188">
        <v>11</v>
      </c>
      <c r="I282" s="188">
        <v>11</v>
      </c>
    </row>
    <row r="283" spans="2:9">
      <c r="B283" s="6" t="s">
        <v>428</v>
      </c>
      <c r="E283" s="183">
        <f>E281*E282</f>
        <v>24844.235650673163</v>
      </c>
      <c r="F283" s="183">
        <f t="shared" ref="F283:I283" si="103">F281*F282</f>
        <v>27176.788907516733</v>
      </c>
      <c r="G283" s="183">
        <f t="shared" si="103"/>
        <v>29608.005337992399</v>
      </c>
      <c r="H283" s="183">
        <f t="shared" si="103"/>
        <v>32137.884942100223</v>
      </c>
      <c r="I283" s="183">
        <f t="shared" si="103"/>
        <v>34766.427719840161</v>
      </c>
    </row>
    <row r="284" spans="2:9">
      <c r="B284" t="s">
        <v>423</v>
      </c>
      <c r="E284" s="184">
        <f ca="1">E275</f>
        <v>18064.510516334081</v>
      </c>
      <c r="F284" s="184">
        <f t="shared" ref="F284:I284" ca="1" si="104">F275</f>
        <v>17765.624110330125</v>
      </c>
      <c r="G284" s="184">
        <f t="shared" ca="1" si="104"/>
        <v>17246.595717559121</v>
      </c>
      <c r="H284" s="184">
        <f t="shared" ca="1" si="104"/>
        <v>16470.984666734632</v>
      </c>
      <c r="I284" s="184">
        <f t="shared" ca="1" si="104"/>
        <v>15434.047391663453</v>
      </c>
    </row>
    <row r="285" spans="2:9">
      <c r="B285" s="6" t="s">
        <v>429</v>
      </c>
      <c r="E285" s="183">
        <f ca="1">E283-E284</f>
        <v>6779.7251343390817</v>
      </c>
      <c r="F285" s="183">
        <f t="shared" ref="F285:I285" ca="1" si="105">F283-F284</f>
        <v>9411.1647971866078</v>
      </c>
      <c r="G285" s="183">
        <f t="shared" ca="1" si="105"/>
        <v>12361.409620433278</v>
      </c>
      <c r="H285" s="183">
        <f t="shared" ca="1" si="105"/>
        <v>15666.900275365591</v>
      </c>
      <c r="I285" s="183">
        <f t="shared" ca="1" si="105"/>
        <v>19332.38032817671</v>
      </c>
    </row>
    <row r="286" spans="2:9">
      <c r="B286" s="28" t="s">
        <v>430</v>
      </c>
      <c r="C286" s="28"/>
      <c r="D286" s="28"/>
      <c r="E286" s="189">
        <v>0.85</v>
      </c>
      <c r="F286" s="189">
        <v>0.85</v>
      </c>
      <c r="G286" s="189">
        <v>0.85</v>
      </c>
      <c r="H286" s="189">
        <v>0.85</v>
      </c>
      <c r="I286" s="189">
        <v>0.85</v>
      </c>
    </row>
    <row r="287" spans="2:9">
      <c r="B287" s="6" t="s">
        <v>432</v>
      </c>
      <c r="C287" s="6"/>
      <c r="D287" s="6"/>
      <c r="E287" s="183">
        <f ca="1">E285*E286</f>
        <v>5762.7663641882191</v>
      </c>
      <c r="F287" s="183">
        <f t="shared" ref="F287:I287" ca="1" si="106">F285*F286</f>
        <v>7999.490077608616</v>
      </c>
      <c r="G287" s="183">
        <f t="shared" ca="1" si="106"/>
        <v>10507.198177368286</v>
      </c>
      <c r="H287" s="183">
        <f t="shared" ca="1" si="106"/>
        <v>13316.865234060753</v>
      </c>
      <c r="I287" s="183">
        <f t="shared" ca="1" si="106"/>
        <v>16432.523278950204</v>
      </c>
    </row>
    <row r="288" spans="2:9">
      <c r="B288" s="28" t="s">
        <v>338</v>
      </c>
      <c r="C288" s="28"/>
      <c r="D288" s="28"/>
      <c r="E288" s="162">
        <f>E112</f>
        <v>10</v>
      </c>
      <c r="F288" s="162">
        <f t="shared" ref="F288:I288" si="107">F112</f>
        <v>10</v>
      </c>
      <c r="G288" s="162">
        <f t="shared" si="107"/>
        <v>10</v>
      </c>
      <c r="H288" s="162">
        <f t="shared" si="107"/>
        <v>10</v>
      </c>
      <c r="I288" s="162">
        <f t="shared" si="107"/>
        <v>10</v>
      </c>
    </row>
    <row r="289" spans="2:13">
      <c r="B289" s="6" t="s">
        <v>431</v>
      </c>
      <c r="E289" s="183">
        <f ca="1">E287+E288</f>
        <v>5772.7663641882191</v>
      </c>
      <c r="F289" s="183">
        <f t="shared" ref="F289:I289" ca="1" si="108">F287+F288</f>
        <v>8009.490077608616</v>
      </c>
      <c r="G289" s="183">
        <f t="shared" ca="1" si="108"/>
        <v>10517.198177368286</v>
      </c>
      <c r="H289" s="183">
        <f t="shared" ca="1" si="108"/>
        <v>13326.865234060753</v>
      </c>
      <c r="I289" s="183">
        <f t="shared" ca="1" si="108"/>
        <v>16442.523278950204</v>
      </c>
    </row>
    <row r="290" spans="2:13">
      <c r="E290" s="125"/>
      <c r="F290" s="125"/>
      <c r="G290" s="125"/>
      <c r="H290" s="125"/>
      <c r="I290" s="125"/>
      <c r="K290" t="s">
        <v>47</v>
      </c>
    </row>
    <row r="291" spans="2:13">
      <c r="B291" s="153" t="s">
        <v>433</v>
      </c>
      <c r="C291" s="191"/>
      <c r="D291" s="192" t="s">
        <v>434</v>
      </c>
      <c r="E291" s="192" t="s">
        <v>435</v>
      </c>
      <c r="F291" s="192" t="s">
        <v>436</v>
      </c>
      <c r="G291" s="192" t="s">
        <v>437</v>
      </c>
      <c r="H291" s="192" t="s">
        <v>438</v>
      </c>
      <c r="I291" s="192" t="s">
        <v>439</v>
      </c>
    </row>
    <row r="292" spans="2:13">
      <c r="D292" s="193">
        <v>46022</v>
      </c>
      <c r="E292" s="193">
        <f>EOMONTH(D292,12)</f>
        <v>46387</v>
      </c>
      <c r="F292" s="193">
        <f t="shared" ref="F292:I292" si="109">EOMONTH(E292,12)</f>
        <v>46752</v>
      </c>
      <c r="G292" s="193">
        <f t="shared" si="109"/>
        <v>47118</v>
      </c>
      <c r="H292" s="193">
        <f t="shared" si="109"/>
        <v>47483</v>
      </c>
      <c r="I292" s="193">
        <f t="shared" si="109"/>
        <v>47848</v>
      </c>
    </row>
    <row r="293" spans="2:13">
      <c r="B293" t="s">
        <v>440</v>
      </c>
      <c r="D293" s="194">
        <f>-$D$41</f>
        <v>-9369.4565000000002</v>
      </c>
      <c r="E293" s="195">
        <f ca="1">E289</f>
        <v>5772.7663641882191</v>
      </c>
      <c r="F293" s="196"/>
      <c r="G293" s="196"/>
      <c r="H293" s="196"/>
      <c r="I293" s="196"/>
    </row>
    <row r="294" spans="2:13">
      <c r="B294" t="s">
        <v>441</v>
      </c>
      <c r="D294" s="194">
        <f t="shared" ref="D294:D297" si="110">-$D$41</f>
        <v>-9369.4565000000002</v>
      </c>
      <c r="E294" s="195">
        <f>$E$288</f>
        <v>10</v>
      </c>
      <c r="F294" s="195">
        <f ca="1">F289</f>
        <v>8009.490077608616</v>
      </c>
      <c r="G294" s="196"/>
      <c r="H294" s="196"/>
      <c r="I294" s="196"/>
    </row>
    <row r="295" spans="2:13">
      <c r="B295" t="s">
        <v>442</v>
      </c>
      <c r="D295" s="194">
        <f t="shared" si="110"/>
        <v>-9369.4565000000002</v>
      </c>
      <c r="E295" s="195">
        <f t="shared" ref="E295:E297" si="111">$E$288</f>
        <v>10</v>
      </c>
      <c r="F295" s="195">
        <f>$F$288</f>
        <v>10</v>
      </c>
      <c r="G295" s="195">
        <f ca="1">G289</f>
        <v>10517.198177368286</v>
      </c>
      <c r="H295" s="196"/>
      <c r="I295" s="196"/>
    </row>
    <row r="296" spans="2:13">
      <c r="B296" t="s">
        <v>443</v>
      </c>
      <c r="D296" s="194">
        <f t="shared" si="110"/>
        <v>-9369.4565000000002</v>
      </c>
      <c r="E296" s="195">
        <f t="shared" si="111"/>
        <v>10</v>
      </c>
      <c r="F296" s="195">
        <f t="shared" ref="F296:F297" si="112">$F$288</f>
        <v>10</v>
      </c>
      <c r="G296" s="195">
        <f>$G$288</f>
        <v>10</v>
      </c>
      <c r="H296" s="195">
        <f ca="1">H289</f>
        <v>13326.865234060753</v>
      </c>
      <c r="I296" s="196"/>
    </row>
    <row r="297" spans="2:13">
      <c r="B297" t="s">
        <v>444</v>
      </c>
      <c r="D297" s="194">
        <f t="shared" si="110"/>
        <v>-9369.4565000000002</v>
      </c>
      <c r="E297" s="195">
        <f t="shared" si="111"/>
        <v>10</v>
      </c>
      <c r="F297" s="195">
        <f t="shared" si="112"/>
        <v>10</v>
      </c>
      <c r="G297" s="195">
        <f>$G$288</f>
        <v>10</v>
      </c>
      <c r="H297" s="195">
        <f>H288</f>
        <v>10</v>
      </c>
      <c r="I297" s="195">
        <f ca="1">I289</f>
        <v>16442.523278950204</v>
      </c>
    </row>
    <row r="298" spans="2:13">
      <c r="D298" s="125"/>
      <c r="E298" s="125"/>
      <c r="F298" s="125"/>
      <c r="G298" s="125"/>
      <c r="H298" s="125"/>
      <c r="I298" s="125"/>
      <c r="M298" t="s">
        <v>47</v>
      </c>
    </row>
    <row r="299" spans="2:13">
      <c r="B299" s="197" t="s">
        <v>445</v>
      </c>
      <c r="C299" s="198"/>
      <c r="D299" s="199"/>
      <c r="E299" s="200">
        <f ca="1">XIRR(D293:I293,$D$292:$I$292)</f>
        <v>-0.3838739313185216</v>
      </c>
      <c r="F299" s="200">
        <f ca="1">XIRR(D294:I294,$D$292:$I$292)</f>
        <v>-7.4884620308876049E-2</v>
      </c>
      <c r="G299" s="200">
        <f ca="1">XIRR(D295:I295,$D$292:$I$292)</f>
        <v>3.9931568503379825E-2</v>
      </c>
      <c r="H299" s="200">
        <f ca="1">XIRR(D296:I296,$D$292:$I$292)</f>
        <v>9.2746159434318534E-2</v>
      </c>
      <c r="I299" s="201">
        <f ca="1">XIRR(D297:I297,$D$292:$I$292)</f>
        <v>0.11971132159233092</v>
      </c>
    </row>
    <row r="300" spans="2:13">
      <c r="B300" s="202" t="s">
        <v>446</v>
      </c>
      <c r="C300" s="203"/>
      <c r="D300" s="204"/>
      <c r="E300" s="205">
        <f ca="1">SUM(E293:I293)/-(D293)</f>
        <v>0.61612606496312983</v>
      </c>
      <c r="F300" s="205">
        <f ca="1">SUM(E294:I294)/-(D294)</f>
        <v>0.85591838519220576</v>
      </c>
      <c r="G300" s="205">
        <f ca="1">SUM(E295:I295)/-(D295)</f>
        <v>1.1246328084631467</v>
      </c>
      <c r="H300" s="205">
        <f ca="1">SUM(E296:I296)/-(D296)</f>
        <v>1.4255752437786282</v>
      </c>
      <c r="I300" s="206">
        <f ca="1">SUM(E297:I297)/-(D297)</f>
        <v>1.7591760289351046</v>
      </c>
    </row>
    <row r="302" spans="2:13">
      <c r="C302" s="6" t="s">
        <v>447</v>
      </c>
    </row>
    <row r="304" spans="2:13">
      <c r="C304" s="231" t="s">
        <v>450</v>
      </c>
      <c r="D304" s="232"/>
      <c r="E304" s="232"/>
      <c r="F304" s="232"/>
      <c r="G304" s="232"/>
      <c r="H304" s="232"/>
      <c r="I304" s="233"/>
    </row>
    <row r="306" spans="2:11">
      <c r="F306" s="207" t="s">
        <v>448</v>
      </c>
    </row>
    <row r="307" spans="2:11">
      <c r="C307" s="244">
        <f ca="1">I299</f>
        <v>0.11971132159233092</v>
      </c>
      <c r="D307" s="208">
        <v>8</v>
      </c>
      <c r="E307" s="208">
        <f>F307-1</f>
        <v>9</v>
      </c>
      <c r="F307" s="208">
        <f>G307-1</f>
        <v>10</v>
      </c>
      <c r="G307" s="209">
        <v>11</v>
      </c>
      <c r="H307" s="208">
        <f>G307+1</f>
        <v>12</v>
      </c>
      <c r="I307" s="208">
        <f>H307+1</f>
        <v>13</v>
      </c>
      <c r="J307" s="208">
        <f>I307+1</f>
        <v>14</v>
      </c>
    </row>
    <row r="308" spans="2:11">
      <c r="C308" s="210">
        <f>D307</f>
        <v>8</v>
      </c>
      <c r="D308" s="211">
        <f t="dataTable" ref="D308:J313" dt2D="1" dtr="1" r1="I282" r2="C14" ca="1"/>
        <v>5.0359180569648748E-2</v>
      </c>
      <c r="E308" s="212">
        <v>0.10982639193534852</v>
      </c>
      <c r="F308" s="212">
        <v>0.15872994065284732</v>
      </c>
      <c r="G308" s="212">
        <v>0.2005363762378693</v>
      </c>
      <c r="H308" s="212">
        <v>0.23721199631690976</v>
      </c>
      <c r="I308" s="212">
        <v>0.26998739838600172</v>
      </c>
      <c r="J308" s="213">
        <v>0.29968746304512039</v>
      </c>
    </row>
    <row r="309" spans="2:11">
      <c r="C309" s="230">
        <f>E307</f>
        <v>9</v>
      </c>
      <c r="D309" s="214">
        <v>-2.1108463406562809E-2</v>
      </c>
      <c r="E309" s="215">
        <v>3.4704270958900441E-2</v>
      </c>
      <c r="F309" s="215">
        <v>8.0549016594886794E-2</v>
      </c>
      <c r="G309" s="215">
        <v>0.11971132159233092</v>
      </c>
      <c r="H309" s="215">
        <v>0.15404949784278868</v>
      </c>
      <c r="I309" s="215">
        <v>0.18472428917884828</v>
      </c>
      <c r="J309" s="216">
        <v>0.2125126898288727</v>
      </c>
    </row>
    <row r="310" spans="2:11">
      <c r="C310" s="210">
        <f>C309+1</f>
        <v>10</v>
      </c>
      <c r="D310" s="214">
        <v>-7.136034667491914E-2</v>
      </c>
      <c r="E310" s="215">
        <v>-1.8042281270027164E-2</v>
      </c>
      <c r="F310" s="215">
        <v>2.5701984763145447E-2</v>
      </c>
      <c r="G310" s="215">
        <v>6.3042041659355161E-2</v>
      </c>
      <c r="H310" s="215">
        <v>9.5765420794487008E-2</v>
      </c>
      <c r="I310" s="215">
        <v>0.12498652338981628</v>
      </c>
      <c r="J310" s="216">
        <v>0.15145027041435241</v>
      </c>
    </row>
    <row r="311" spans="2:11">
      <c r="B311" s="190" t="s">
        <v>251</v>
      </c>
      <c r="C311" s="210">
        <f>C310+1</f>
        <v>11</v>
      </c>
      <c r="D311" s="214">
        <v>-0.10988347418606279</v>
      </c>
      <c r="E311" s="215">
        <v>-5.839162170886994E-2</v>
      </c>
      <c r="F311" s="215">
        <v>-1.619968116283417E-2</v>
      </c>
      <c r="G311" s="215">
        <v>1.9786021113395696E-2</v>
      </c>
      <c r="H311" s="215">
        <v>5.1304718852043157E-2</v>
      </c>
      <c r="I311" s="215">
        <v>7.9438427090644873E-2</v>
      </c>
      <c r="J311" s="216">
        <v>0.10490930676460267</v>
      </c>
    </row>
    <row r="312" spans="2:11">
      <c r="C312" s="210">
        <f>C311+1</f>
        <v>12</v>
      </c>
      <c r="D312" s="214">
        <v>-0.14110914804041383</v>
      </c>
      <c r="E312" s="215">
        <v>-9.0995237231254592E-2</v>
      </c>
      <c r="F312" s="215">
        <v>-4.9992939829826361E-2</v>
      </c>
      <c r="G312" s="215">
        <v>-1.5054610371589658E-2</v>
      </c>
      <c r="H312" s="215">
        <v>1.5526947379112244E-2</v>
      </c>
      <c r="I312" s="215">
        <v>4.2811200022697435E-2</v>
      </c>
      <c r="J312" s="216">
        <v>6.7504063248634366E-2</v>
      </c>
    </row>
    <row r="313" spans="2:11">
      <c r="C313" s="210">
        <f>C312+1</f>
        <v>13</v>
      </c>
      <c r="D313" s="217">
        <v>-0.16718372665345668</v>
      </c>
      <c r="E313" s="218">
        <v>-0.11816971637308599</v>
      </c>
      <c r="F313" s="218">
        <v>-7.8127321600914013E-2</v>
      </c>
      <c r="G313" s="218">
        <v>-4.4039180874824516E-2</v>
      </c>
      <c r="H313" s="218">
        <v>-1.4221277832984925E-2</v>
      </c>
      <c r="I313" s="218">
        <v>1.2368962168693546E-2</v>
      </c>
      <c r="J313" s="219">
        <v>3.6424943804740914E-2</v>
      </c>
    </row>
    <row r="314" spans="2:11">
      <c r="C314" s="210"/>
      <c r="D314" s="215"/>
      <c r="E314" s="215"/>
      <c r="F314" s="215"/>
      <c r="G314" s="215"/>
      <c r="H314" s="215"/>
      <c r="I314" s="215"/>
      <c r="J314" s="215"/>
    </row>
    <row r="315" spans="2:11" ht="16.8" customHeight="1"/>
    <row r="316" spans="2:11">
      <c r="C316" s="231" t="s">
        <v>449</v>
      </c>
      <c r="D316" s="232"/>
      <c r="E316" s="232"/>
      <c r="F316" s="232"/>
      <c r="G316" s="232"/>
      <c r="H316" s="232"/>
      <c r="I316" s="233"/>
      <c r="K316" t="s">
        <v>47</v>
      </c>
    </row>
    <row r="317" spans="2:11">
      <c r="B317" t="s">
        <v>47</v>
      </c>
    </row>
    <row r="318" spans="2:11">
      <c r="F318" s="207" t="s">
        <v>448</v>
      </c>
    </row>
    <row r="319" spans="2:11">
      <c r="C319" s="245">
        <f ca="1">I300</f>
        <v>1.7591760289351046</v>
      </c>
      <c r="D319" s="208">
        <f>E319-1</f>
        <v>8</v>
      </c>
      <c r="E319" s="208">
        <f>F319-1</f>
        <v>9</v>
      </c>
      <c r="F319" s="208">
        <f>G319-1</f>
        <v>10</v>
      </c>
      <c r="G319" s="209">
        <v>11</v>
      </c>
      <c r="H319" s="208">
        <f>G319+1</f>
        <v>12</v>
      </c>
      <c r="I319" s="208">
        <f t="shared" ref="I319:J319" si="113">H319+1</f>
        <v>13</v>
      </c>
      <c r="J319" s="208">
        <f t="shared" si="113"/>
        <v>14</v>
      </c>
    </row>
    <row r="320" spans="2:11">
      <c r="C320" s="229">
        <v>8</v>
      </c>
      <c r="D320" s="220">
        <f t="dataTable" ref="D320:J326" dt2D="1" dtr="1" r1="I282" r2="C14" ca="1"/>
        <v>1.2778401211708448</v>
      </c>
      <c r="E320" s="221">
        <v>1.6823747147986121</v>
      </c>
      <c r="F320" s="221">
        <v>2.086909315685745</v>
      </c>
      <c r="G320" s="221">
        <v>2.4914439166037727</v>
      </c>
      <c r="H320" s="221">
        <v>2.895978517521907</v>
      </c>
      <c r="I320" s="221">
        <v>3.3005131184400422</v>
      </c>
      <c r="J320" s="222">
        <v>3.705047719358177</v>
      </c>
    </row>
    <row r="321" spans="2:10">
      <c r="C321" s="230">
        <f>C320+1</f>
        <v>9</v>
      </c>
      <c r="D321" s="223">
        <v>0.89898844771960573</v>
      </c>
      <c r="E321" s="224">
        <v>1.1857176444299176</v>
      </c>
      <c r="F321" s="224">
        <v>1.4724468359948792</v>
      </c>
      <c r="G321" s="224">
        <v>1.7591760275379433</v>
      </c>
      <c r="H321" s="224">
        <v>2.0459052190809319</v>
      </c>
      <c r="I321" s="224">
        <v>2.3326344106239199</v>
      </c>
      <c r="J321" s="225">
        <v>2.6193636021669078</v>
      </c>
    </row>
    <row r="322" spans="2:10">
      <c r="C322" s="210">
        <f t="shared" ref="C322:C326" si="114">C321+1</f>
        <v>10</v>
      </c>
      <c r="D322" s="223">
        <v>0.69102461629909651</v>
      </c>
      <c r="E322" s="224">
        <v>0.91308664271299589</v>
      </c>
      <c r="F322" s="224">
        <v>1.1351486651419969</v>
      </c>
      <c r="G322" s="224">
        <v>1.3572106875540384</v>
      </c>
      <c r="H322" s="224">
        <v>1.579272709966022</v>
      </c>
      <c r="I322" s="224">
        <v>1.8013347323780049</v>
      </c>
      <c r="J322" s="225">
        <v>2.0233967547899874</v>
      </c>
    </row>
    <row r="323" spans="2:10">
      <c r="B323" s="190" t="str">
        <f>B311</f>
        <v>Entry Multiple</v>
      </c>
      <c r="C323" s="210">
        <f t="shared" si="114"/>
        <v>11</v>
      </c>
      <c r="D323" s="223">
        <v>0.55925778042957408</v>
      </c>
      <c r="E323" s="224">
        <v>0.74045392075678518</v>
      </c>
      <c r="F323" s="224">
        <v>0.92165006074233591</v>
      </c>
      <c r="G323" s="224">
        <v>1.1028462007264426</v>
      </c>
      <c r="H323" s="224">
        <v>1.2840423407105443</v>
      </c>
      <c r="I323" s="224">
        <v>1.4652384806946461</v>
      </c>
      <c r="J323" s="225">
        <v>1.6464346206787475</v>
      </c>
    </row>
    <row r="324" spans="2:10">
      <c r="C324" s="210">
        <f t="shared" si="114"/>
        <v>12</v>
      </c>
      <c r="D324" s="223">
        <v>0.46790496499790313</v>
      </c>
      <c r="E324" s="224">
        <v>0.62093847963687654</v>
      </c>
      <c r="F324" s="224">
        <v>0.77397199398729266</v>
      </c>
      <c r="G324" s="224">
        <v>0.92700550833648909</v>
      </c>
      <c r="H324" s="224">
        <v>1.0800390226856813</v>
      </c>
      <c r="I324" s="224">
        <v>1.2330725370348736</v>
      </c>
      <c r="J324" s="225">
        <v>1.3861060513840655</v>
      </c>
    </row>
    <row r="325" spans="2:10">
      <c r="C325" s="210">
        <f t="shared" si="114"/>
        <v>13</v>
      </c>
      <c r="D325" s="223">
        <v>0.40112943568167486</v>
      </c>
      <c r="E325" s="224">
        <v>0.53357711256205709</v>
      </c>
      <c r="F325" s="224">
        <v>0.66602478919269847</v>
      </c>
      <c r="G325" s="224">
        <v>0.79847246582228448</v>
      </c>
      <c r="H325" s="224">
        <v>0.93092014245186661</v>
      </c>
      <c r="I325" s="224">
        <v>1.0633678190814486</v>
      </c>
      <c r="J325" s="225">
        <v>1.1958154957110305</v>
      </c>
    </row>
    <row r="326" spans="2:10">
      <c r="C326" s="210">
        <f t="shared" si="114"/>
        <v>14</v>
      </c>
      <c r="D326" s="226">
        <v>0.35018889473241366</v>
      </c>
      <c r="E326" s="227">
        <v>0.46693240989286044</v>
      </c>
      <c r="F326" s="227">
        <v>0.58367592483317776</v>
      </c>
      <c r="G326" s="227">
        <v>0.70041943977256438</v>
      </c>
      <c r="H326" s="227">
        <v>0.817162954711948</v>
      </c>
      <c r="I326" s="227">
        <v>0.93390646965133162</v>
      </c>
      <c r="J326" s="228">
        <v>1.0506499845907149</v>
      </c>
    </row>
  </sheetData>
  <mergeCells count="4">
    <mergeCell ref="C304:I304"/>
    <mergeCell ref="C316:I316"/>
    <mergeCell ref="C2:G3"/>
    <mergeCell ref="F64:G64"/>
  </mergeCells>
  <phoneticPr fontId="28" type="noConversion"/>
  <conditionalFormatting sqref="D308:J313">
    <cfRule type="cellIs" dxfId="5" priority="4" operator="between">
      <formula>0.1</formula>
      <formula>0.2</formula>
    </cfRule>
    <cfRule type="cellIs" dxfId="4" priority="5" operator="lessThan">
      <formula>0.1</formula>
    </cfRule>
    <cfRule type="cellIs" dxfId="3" priority="6" operator="greaterThan">
      <formula>0.2</formula>
    </cfRule>
  </conditionalFormatting>
  <conditionalFormatting sqref="D320:J326">
    <cfRule type="cellIs" dxfId="2" priority="1" operator="between">
      <formula>1.5</formula>
      <formula>2</formula>
    </cfRule>
    <cfRule type="cellIs" dxfId="1" priority="2" operator="lessThan">
      <formula>1.5</formula>
    </cfRule>
    <cfRule type="cellIs" dxfId="0" priority="3" operator="greaterThan">
      <formula>2</formula>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9</vt:i4>
      </vt:variant>
    </vt:vector>
  </HeadingPairs>
  <TitlesOfParts>
    <vt:vector size="9" baseType="lpstr">
      <vt:lpstr>BL</vt:lpstr>
      <vt:lpstr>Ratio Analysis</vt:lpstr>
      <vt:lpstr>DuPont</vt:lpstr>
      <vt:lpstr>Comps Data</vt:lpstr>
      <vt:lpstr>Beta</vt:lpstr>
      <vt:lpstr>Projection</vt:lpstr>
      <vt:lpstr>WACC</vt:lpstr>
      <vt:lpstr>DCF</vt:lpstr>
      <vt:lpstr>LBO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Абай Шинтемиров</dc:creator>
  <cp:lastModifiedBy>Абай Шинтемиров</cp:lastModifiedBy>
  <dcterms:created xsi:type="dcterms:W3CDTF">2026-03-26T03:07:20Z</dcterms:created>
  <dcterms:modified xsi:type="dcterms:W3CDTF">2026-05-04T08:53:19Z</dcterms:modified>
</cp:coreProperties>
</file>